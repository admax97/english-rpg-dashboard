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407d6a374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9d0b9dfb7c4252"/>
    <x:sheet xmlns:r="http://schemas.openxmlformats.org/officeDocument/2006/relationships" name="Dashboard" sheetId="2" r:id="R77c80443745f4956"/>
    <x:sheet xmlns:r="http://schemas.openxmlformats.org/officeDocument/2006/relationships" name="Daily Tracker" sheetId="3" r:id="R5459fba3d9ba4e71"/>
    <x:sheet xmlns:r="http://schemas.openxmlformats.org/officeDocument/2006/relationships" name="Weekly Review" sheetId="4" r:id="Re54f611759ed478e"/>
    <x:sheet xmlns:r="http://schemas.openxmlformats.org/officeDocument/2006/relationships" name="Lists" sheetId="5" r:id="Rd68857528ff1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%"/>
    <x:numFmt numFmtId="203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2344D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6">
    <x:border/>
    <x:border>
      <x:left>
        <x:color rgb="B7C9D6"/>
      </x:left>
      <x:top>
        <x:color rgb="B7C9D6"/>
      </x:top>
      <x:bottom>
        <x:color rgb="B7C9D6"/>
      </x:bottom>
    </x:border>
    <x:border>
      <x:top>
        <x:color rgb="B7C9D6"/>
      </x:top>
      <x:bottom>
        <x:color rgb="B7C9D6"/>
      </x:bottom>
    </x:border>
    <x:border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top>
        <x:color rgb="B7C9D6"/>
      </x:top>
    </x:border>
    <x:border>
      <x:top>
        <x:color rgb="B7C9D6"/>
      </x:top>
    </x:border>
    <x:border>
      <x:right>
        <x:color rgb="B7C9D6"/>
      </x:right>
      <x:top>
        <x:color rgb="B7C9D6"/>
      </x:top>
    </x:border>
    <x:border>
      <x:left>
        <x:color rgb="B7C9D6"/>
      </x:left>
    </x:border>
    <x:border>
      <x:right>
        <x:color rgb="B7C9D6"/>
      </x:right>
    </x:border>
    <x:border>
      <x:left>
        <x:color rgb="B7C9D6"/>
      </x:left>
      <x:bottom>
        <x:color rgb="B7C9D6"/>
      </x:bottom>
    </x:border>
    <x:border>
      <x:bottom>
        <x:color rgb="B7C9D6"/>
      </x:bottom>
    </x:border>
    <x:border>
      <x:right>
        <x:color rgb="B7C9D6"/>
      </x:right>
      <x:bottom>
        <x:color rgb="B7C9D6"/>
      </x:bottom>
    </x:border>
    <x:border>
      <x:left>
        <x:color rgb="B7C9D6"/>
      </x:left>
      <x:right>
        <x:color rgb="B7C9D6"/>
      </x:right>
      <x:top>
        <x:color rgb="B7C9D6"/>
      </x:top>
    </x:border>
    <x:border>
      <x:left>
        <x:color rgb="B7C9D6"/>
      </x:left>
      <x:right>
        <x:color rgb="B7C9D6"/>
      </x:right>
    </x:border>
    <x:border>
      <x:left>
        <x:color rgb="B7C9D6"/>
      </x:left>
      <x:right>
        <x:color rgb="B7C9D6"/>
      </x:right>
      <x:bottom>
        <x:color rgb="B7C9D6"/>
      </x:bottom>
    </x:border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horizontal="center" vertical="top" wrapText="1"/>
    </x:xf>
    <x:xf numFmtId="201" fontId="0" fillId="0" borderId="5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202" fontId="0" fillId="0" borderId="6" xfId="0" applyNumberFormat="1" applyFont="1" applyFill="1" applyBorder="1" applyAlignment="1">
      <x:alignment horizontal="center" vertical="top" wrapText="1"/>
    </x:xf>
    <x:xf numFmtId="201" fontId="0" fillId="0" borderId="7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2" fontId="0" fillId="0" borderId="8" xfId="0" applyNumberFormat="1" applyFont="1" applyFill="1" applyBorder="1" applyAlignment="1">
      <x:alignment horizontal="center" vertical="top" wrapText="1"/>
    </x:xf>
    <x:xf numFmtId="201" fontId="0" fillId="0" borderId="9" xfId="0" applyNumberFormat="1" applyFont="1" applyFill="1" applyBorder="1" applyAlignment="1">
      <x:alignment horizontal="center" vertical="top" wrapText="1"/>
    </x:xf>
    <x:xf numFmtId="201" fontId="0" fillId="0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202" fontId="0" fillId="0" borderId="11" xfId="0" applyNumberFormat="1" applyFont="1" applyFill="1" applyBorder="1" applyAlignment="1">
      <x:alignment horizontal="center" vertical="top" wrapText="1"/>
    </x:xf>
    <x:xf numFmtId="201" fontId="0" fillId="0" borderId="4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2" fontId="0" fillId="0" borderId="6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2" fontId="0" fillId="0" borderId="8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11" xfId="0" applyNumberFormat="1" applyFont="1" applyFill="1" applyBorder="1" applyAlignment="1">
      <x:alignment horizontal="center" vertical="center" wrapText="1"/>
    </x:xf>
    <x:xf numFmtId="0" fontId="0" fillId="2" borderId="4" xfId="0" applyNumberFormat="1" applyFont="1" applyFill="1" applyBorder="1" applyAlignment="1">
      <x:alignment vertical="top" wrapText="1"/>
    </x:xf>
    <x:xf numFmtId="0" fontId="0" fillId="2" borderId="6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546b518cc47dc" /><Relationship Type="http://schemas.openxmlformats.org/officeDocument/2006/relationships/theme" Target="/xl/theme/theme1.xml" Id="R6ece9e62c01f47bd" /><Relationship Type="http://schemas.openxmlformats.org/officeDocument/2006/relationships/sharedStrings" Target="/xl/sharedStrings.xml" Id="R0634ed4346424825" /><Relationship Type="http://schemas.openxmlformats.org/officeDocument/2006/relationships/worksheet" Target="/xl/worksheets/sheet1.xml" Id="R969d0b9dfb7c4252" /><Relationship Type="http://schemas.openxmlformats.org/officeDocument/2006/relationships/worksheet" Target="/xl/worksheets/sheet2.xml" Id="R77c80443745f4956" /><Relationship Type="http://schemas.openxmlformats.org/officeDocument/2006/relationships/worksheet" Target="/xl/worksheets/sheet3.xml" Id="R5459fba3d9ba4e71" /><Relationship Type="http://schemas.openxmlformats.org/officeDocument/2006/relationships/worksheet" Target="/xl/worksheets/sheet4.xml" Id="Re54f611759ed478e" /><Relationship Type="http://schemas.openxmlformats.org/officeDocument/2006/relationships/worksheet" Target="/xl/worksheets/sheet5.xml" Id="Rd68857528ff148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ee8174f96449ea" /><Relationship Type="http://schemas.openxmlformats.org/officeDocument/2006/relationships/chart" Target="/xl/drawings/charts/chart2.xml" Id="Re3f61356226441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Completion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Focus</c:v>
          </c:tx>
          <c:marker/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Avg Completion</c:v>
          </c:tx>
          <c:marker/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'Dashboard'!$C$11:$C$18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Actual Minutes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Avg Actual Min</c:v>
          </c:tx>
          <c:cat>
            <c:strRef>
              <c:f>'Dashboard'!$A$22:$A$29</c:f>
              <c:strCache>
                <c:ptCount val="0"/>
              </c:strCache>
            </c:strRef>
          </c:cat>
          <c:val>
            <c:numRef>
              <c:f>'Dashboard'!$B$22:$B$29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ee8174f96449ea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f61356226441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tudyTracker" displayName="DailyStudyTracker" ref="A1:R57" headerRowCount="1">
  <x:tableColumns count="18">
    <x:tableColumn id="1" name="Date"/>
    <x:tableColumn id="2" name="Week"/>
    <x:tableColumn id="3" name="Day"/>
    <x:tableColumn id="4" name="Weekly Focus"/>
    <x:tableColumn id="5" name="Grammar"/>
    <x:tableColumn id="6" name="Theme"/>
    <x:tableColumn id="7" name="Day Block"/>
    <x:tableColumn id="8" name="Task"/>
    <x:tableColumn id="9" name="Planned Min"/>
    <x:tableColumn id="10" name="Actual Min"/>
    <x:tableColumn id="11" name="Vocabulary"/>
    <x:tableColumn id="12" name="Listening"/>
    <x:tableColumn id="13" name="Speaking"/>
    <x:tableColumn id="14" name="Writing"/>
    <x:tableColumn id="15" name="Review"/>
    <x:tableColumn id="16" name="Voice"/>
    <x:tableColumn id="17" name="Completion %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bf41cb8d50f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55e5272884a490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2" t="str">
        <x:v>English Study Tracker - 8 Weeks</x:v>
      </x:c>
      <x:c r="B1" s="13"/>
      <x:c r="C1" s="13"/>
      <x:c r="D1" s="13"/>
      <x:c r="E1" s="13"/>
      <x:c r="F1" s="13"/>
      <x:c r="G1" s="13"/>
      <x:c r="H1" s="14"/>
    </x:row>
    <x:row r="2" ht="28" customHeight="1">
      <x:c r="A2" s="65"/>
      <x:c r="B2" s="65"/>
      <x:c r="C2" s="65"/>
      <x:c r="D2" s="65"/>
      <x:c r="E2" s="65"/>
      <x:c r="F2" s="65"/>
      <x:c r="G2" s="65"/>
      <x:c r="H2" s="65"/>
    </x:row>
    <x:row r="3">
      <x:c r="A3" s="23" t="str">
        <x:v>Что внутри</x:v>
      </x:c>
      <x:c r="B3" s="24" t="str"/>
      <x:c r="C3" s="24" t="str"/>
      <x:c r="D3" s="24" t="str"/>
      <x:c r="E3" s="24" t="str"/>
      <x:c r="F3" s="24" t="str"/>
      <x:c r="G3" s="24" t="str"/>
      <x:c r="H3" s="25" t="str"/>
    </x:row>
    <x:row r="4">
      <x:c r="A4" s="61" t="str">
        <x:v>Dashboard</x:v>
      </x:c>
      <x:c r="B4" s="62" t="str">
        <x:v>Общий прогресс по 8 неделям, средний completion, минуты и weekly summary</x:v>
      </x:c>
      <x:c r="C4" s="62" t="str"/>
      <x:c r="D4" s="62" t="str"/>
      <x:c r="E4" s="62" t="str"/>
      <x:c r="F4" s="62" t="str"/>
      <x:c r="G4" s="62" t="str"/>
      <x:c r="H4" s="63" t="str"/>
    </x:row>
    <x:row r="5">
      <x:c r="A5" s="64" t="str">
        <x:v>Daily Tracker</x:v>
      </x:c>
      <x:c r="B5" s="65" t="str">
        <x:v>Главный лист. Каждый день отмечай статус блоков, фактическое время и заметки</x:v>
      </x:c>
      <x:c r="C5" s="65" t="str"/>
      <x:c r="D5" s="65" t="str"/>
      <x:c r="E5" s="65" t="str"/>
      <x:c r="F5" s="65" t="str"/>
      <x:c r="G5" s="65" t="str"/>
      <x:c r="H5" s="66" t="str"/>
    </x:row>
    <x:row r="6">
      <x:c r="A6" s="64" t="str">
        <x:v>Weekly Review</x:v>
      </x:c>
      <x:c r="B6" s="65" t="str">
        <x:v>Короткий weekly review: что улучшилось, что мешало, как скорректировать следующую неделю</x:v>
      </x:c>
      <x:c r="C6" s="65" t="str"/>
      <x:c r="D6" s="65" t="str"/>
      <x:c r="E6" s="65" t="str"/>
      <x:c r="F6" s="65" t="str"/>
      <x:c r="G6" s="65" t="str"/>
      <x:c r="H6" s="66" t="str"/>
    </x:row>
    <x:row r="7">
      <x:c r="A7" s="64" t="str">
        <x:v>Lists</x:v>
      </x:c>
      <x:c r="B7" s="65" t="str">
        <x:v>Служебный лист со статусами для выпадающих списков. Лучше не менять</x:v>
      </x:c>
      <x:c r="C7" s="65" t="str"/>
      <x:c r="D7" s="65" t="str"/>
      <x:c r="E7" s="65" t="str"/>
      <x:c r="F7" s="65" t="str"/>
      <x:c r="G7" s="65" t="str"/>
      <x:c r="H7" s="66" t="str"/>
    </x:row>
    <x:row r="8">
      <x:c r="A8" s="64" t="str">
        <x:v>Рекомендация</x:v>
      </x:c>
      <x:c r="B8" s="65" t="str">
        <x:v>Отмечай обучение сразу после сессии. Для скорости используй статусы Done / Partial / Skipped</x:v>
      </x:c>
      <x:c r="C8" s="65" t="str"/>
      <x:c r="D8" s="65" t="str"/>
      <x:c r="E8" s="65" t="str"/>
      <x:c r="F8" s="65" t="str"/>
      <x:c r="G8" s="65" t="str"/>
      <x:c r="H8" s="66" t="str"/>
    </x:row>
    <x:row r="9">
      <x:c r="A9" s="64"/>
      <x:c r="B9" s="65"/>
      <x:c r="C9" s="65"/>
      <x:c r="D9" s="65"/>
      <x:c r="E9" s="65"/>
      <x:c r="F9" s="65"/>
      <x:c r="G9" s="65"/>
      <x:c r="H9" s="66"/>
    </x:row>
    <x:row r="10">
      <x:c r="A10" s="23" t="str">
        <x:v>Как отмечать день</x:v>
      </x:c>
      <x:c r="B10" s="24" t="str"/>
      <x:c r="C10" s="24" t="str"/>
      <x:c r="D10" s="24" t="str"/>
      <x:c r="E10" s="24" t="str"/>
      <x:c r="F10" s="24" t="str"/>
      <x:c r="G10" s="24" t="str"/>
      <x:c r="H10" s="25" t="str"/>
    </x:row>
    <x:row r="11">
      <x:c r="A11" s="64" t="str">
        <x:v>1</x:v>
      </x:c>
      <x:c r="B11" s="65" t="str">
        <x:v>Заполни Actual Min</x:v>
      </x:c>
      <x:c r="C11" s="65" t="str">
        <x:v>Сколько минут реально занимался</x:v>
      </x:c>
      <x:c r="D11" s="65" t="str"/>
      <x:c r="E11" s="65" t="str"/>
      <x:c r="F11" s="65" t="str"/>
      <x:c r="G11" s="65" t="str"/>
      <x:c r="H11" s="66" t="str"/>
    </x:row>
    <x:row r="12">
      <x:c r="A12" s="64" t="str">
        <x:v>2</x:v>
      </x:c>
      <x:c r="B12" s="65" t="str">
        <x:v>Отметь блоки</x:v>
      </x:c>
      <x:c r="C12" s="65" t="str">
        <x:v>Vocabulary, Listening, Speaking, Writing, Review, Voice</x:v>
      </x:c>
      <x:c r="D12" s="65" t="str"/>
      <x:c r="E12" s="65" t="str"/>
      <x:c r="F12" s="65" t="str"/>
      <x:c r="G12" s="65" t="str"/>
      <x:c r="H12" s="66" t="str"/>
    </x:row>
    <x:row r="13">
      <x:c r="A13" s="64" t="str">
        <x:v>3</x:v>
      </x:c>
      <x:c r="B13" s="65" t="str">
        <x:v>Completion %</x:v>
      </x:c>
      <x:c r="C13" s="65" t="str">
        <x:v>Считается автоматически из статусов</x:v>
      </x:c>
      <x:c r="D13" s="65" t="str"/>
      <x:c r="E13" s="65" t="str"/>
      <x:c r="F13" s="65" t="str"/>
      <x:c r="G13" s="65" t="str"/>
      <x:c r="H13" s="66" t="str"/>
    </x:row>
    <x:row r="14">
      <x:c r="A14" s="64" t="str">
        <x:v>4</x:v>
      </x:c>
      <x:c r="B14" s="65" t="str">
        <x:v>Notes</x:v>
      </x:c>
      <x:c r="C14" s="65" t="str">
        <x:v>Коротко фиксируй ошибки, полезные фразы или что было трудно</x:v>
      </x:c>
      <x:c r="D14" s="65" t="str"/>
      <x:c r="E14" s="65" t="str"/>
      <x:c r="F14" s="65" t="str"/>
      <x:c r="G14" s="65" t="str"/>
      <x:c r="H14" s="66" t="str"/>
    </x:row>
    <x:row r="15">
      <x:c r="A15" s="64" t="str">
        <x:v>5</x:v>
      </x:c>
      <x:c r="B15" s="65" t="str">
        <x:v>Weekly Review</x:v>
      </x:c>
      <x:c r="C15" s="65" t="str">
        <x:v>Раз в неделю оцени прогресс и скорректируй фокус</x:v>
      </x:c>
      <x:c r="D15" s="65" t="str"/>
      <x:c r="E15" s="65" t="str"/>
      <x:c r="F15" s="65" t="str"/>
      <x:c r="G15" s="65" t="str"/>
      <x:c r="H15" s="66" t="str"/>
    </x:row>
    <x:row r="16">
      <x:c r="A16" s="64" t="str">
        <x:v>6</x:v>
      </x:c>
      <x:c r="B16" s="65" t="str">
        <x:v>Режим</x:v>
      </x:c>
      <x:c r="C16" s="65" t="str">
        <x:v>Будни 30-40 минут, суббота 45-60, воскресенье легкий review</x:v>
      </x:c>
      <x:c r="D16" s="65" t="str"/>
      <x:c r="E16" s="65" t="str"/>
      <x:c r="F16" s="65" t="str"/>
      <x:c r="G16" s="65" t="str"/>
      <x:c r="H16" s="66" t="str"/>
    </x:row>
    <x:row r="17">
      <x:c r="A17" s="64"/>
      <x:c r="B17" s="65"/>
      <x:c r="C17" s="65"/>
      <x:c r="D17" s="65"/>
      <x:c r="E17" s="65"/>
      <x:c r="F17" s="65"/>
      <x:c r="G17" s="65"/>
      <x:c r="H17" s="66"/>
    </x:row>
    <x:row r="18">
      <x:c r="A18" s="23" t="str">
        <x:v>Статусы</x:v>
      </x:c>
      <x:c r="B18" s="24" t="str"/>
      <x:c r="C18" s="24" t="str"/>
      <x:c r="D18" s="24" t="str"/>
      <x:c r="E18" s="24" t="str"/>
      <x:c r="F18" s="24" t="str"/>
      <x:c r="G18" s="24" t="str"/>
      <x:c r="H18" s="25" t="str"/>
    </x:row>
    <x:row r="19">
      <x:c r="A19" s="64" t="str">
        <x:v>Done</x:v>
      </x:c>
      <x:c r="B19" s="65" t="str">
        <x:v>Блок выполнен полностью</x:v>
      </x:c>
      <x:c r="C19" s="65" t="str"/>
      <x:c r="D19" s="65" t="str"/>
      <x:c r="E19" s="65"/>
      <x:c r="F19" s="65"/>
      <x:c r="G19" s="65"/>
      <x:c r="H19" s="66"/>
    </x:row>
    <x:row r="20">
      <x:c r="A20" s="64" t="str">
        <x:v>Partial</x:v>
      </x:c>
      <x:c r="B20" s="65" t="str">
        <x:v>Сделан частично</x:v>
      </x:c>
      <x:c r="C20" s="65" t="str"/>
      <x:c r="D20" s="65" t="str"/>
      <x:c r="E20" s="65"/>
      <x:c r="F20" s="65"/>
      <x:c r="G20" s="65"/>
      <x:c r="H20" s="66"/>
    </x:row>
    <x:row r="21">
      <x:c r="A21" s="64" t="str">
        <x:v>Skipped</x:v>
      </x:c>
      <x:c r="B21" s="65" t="str">
        <x:v>Пропущен</x:v>
      </x:c>
      <x:c r="C21" s="65" t="str"/>
      <x:c r="D21" s="65" t="str"/>
      <x:c r="E21" s="65"/>
      <x:c r="F21" s="65"/>
      <x:c r="G21" s="65"/>
      <x:c r="H21" s="66"/>
    </x:row>
    <x:row r="22">
      <x:c r="A22" s="67" t="str">
        <x:v>Blank</x:v>
      </x:c>
      <x:c r="B22" s="68" t="str">
        <x:v>Еще не отмечено</x:v>
      </x:c>
      <x:c r="C22" s="68" t="str"/>
      <x:c r="D22" s="68" t="str"/>
      <x:c r="E22" s="68"/>
      <x:c r="F22" s="68"/>
      <x:c r="G22" s="68"/>
      <x:c r="H22" s="6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2" t="str">
        <x:v>Dashboard - English Study Tracker</x:v>
      </x:c>
      <x:c r="B1" s="13"/>
      <x:c r="C1" s="13"/>
      <x:c r="D1" s="13"/>
      <x:c r="E1" s="13"/>
      <x:c r="F1" s="14"/>
    </x:row>
    <x:row r="2">
      <x:c r="A2" s="65"/>
      <x:c r="B2" s="65"/>
      <x:c r="C2" s="65"/>
      <x:c r="D2" s="65"/>
      <x:c r="E2" s="65"/>
      <x:c r="F2" s="65"/>
    </x:row>
    <x:row r="3">
      <x:c r="A3" s="58" t="str">
        <x:v>Metric</x:v>
      </x:c>
      <x:c r="B3" s="60" t="str">
        <x:v>Value</x:v>
      </x:c>
      <x:c r="C3" s="65"/>
      <x:c r="D3" s="65"/>
      <x:c r="E3" s="65"/>
      <x:c r="F3" s="65"/>
    </x:row>
    <x:row r="4">
      <x:c r="A4" s="73" t="str">
        <x:v>Total planned minutes</x:v>
      </x:c>
      <x:c r="B4" s="138" t="n">
        <x:f>SUM('Daily Tracker'!I2:I57)</x:f>
        <x:v>1960</x:v>
      </x:c>
      <x:c r="C4" s="65"/>
      <x:c r="D4" s="65"/>
      <x:c r="E4" s="65"/>
      <x:c r="F4" s="65"/>
    </x:row>
    <x:row r="5">
      <x:c r="A5" s="73" t="str">
        <x:v>Total actual minutes</x:v>
      </x:c>
      <x:c r="B5" s="138" t="n">
        <x:f>SUM('Daily Tracker'!J2:J57)</x:f>
        <x:v>0</x:v>
      </x:c>
      <x:c r="C5" s="65"/>
      <x:c r="D5" s="65"/>
      <x:c r="E5" s="65"/>
      <x:c r="F5" s="65"/>
    </x:row>
    <x:row r="6">
      <x:c r="A6" s="73" t="str">
        <x:v>Logged days</x:v>
      </x:c>
      <x:c r="B6" s="138" t="n">
        <x:f>COUNT('Daily Tracker'!Q2:Q57)</x:f>
        <x:v>0</x:v>
      </x:c>
      <x:c r="C6" s="65"/>
      <x:c r="D6" s="65"/>
      <x:c r="E6" s="65"/>
      <x:c r="F6" s="65"/>
    </x:row>
    <x:row r="7">
      <x:c r="A7" s="73" t="str">
        <x:v>Average completion</x:v>
      </x:c>
      <x:c r="B7" s="103" t="str">
        <x:f>IFERROR(AVERAGE('Daily Tracker'!Q2:Q57),"")</x:f>
      </x:c>
      <x:c r="C7" s="65"/>
      <x:c r="D7" s="65"/>
      <x:c r="E7" s="65"/>
      <x:c r="F7" s="65"/>
    </x:row>
    <x:row r="8">
      <x:c r="A8" s="76" t="str">
        <x:v>Average actual minutes</x:v>
      </x:c>
      <x:c r="B8" s="139" t="str">
        <x:f>IFERROR(AVERAGEIF('Daily Tracker'!J2:J57,"&gt;0"),"")</x:f>
      </x:c>
      <x:c r="C8" s="65"/>
      <x:c r="D8" s="65"/>
      <x:c r="E8" s="65"/>
      <x:c r="F8" s="65"/>
    </x:row>
    <x:row r="9">
      <x:c r="A9" s="65"/>
      <x:c r="B9" s="65"/>
      <x:c r="C9" s="65"/>
      <x:c r="D9" s="65"/>
      <x:c r="E9" s="65"/>
      <x:c r="F9" s="65"/>
    </x:row>
    <x:row r="10">
      <x:c r="A10" s="58" t="str">
        <x:v>Week</x:v>
      </x:c>
      <x:c r="B10" s="59" t="str">
        <x:v>Focus</x:v>
      </x:c>
      <x:c r="C10" s="59" t="str">
        <x:v>Avg Completion</x:v>
      </x:c>
      <x:c r="D10" s="59" t="str">
        <x:v>Avg Actual Min</x:v>
      </x:c>
      <x:c r="E10" s="60" t="str">
        <x:v>Weekly Target</x:v>
      </x:c>
      <x:c r="F10" s="65"/>
    </x:row>
    <x:row r="11">
      <x:c r="A11" s="70" t="n">
        <x:v>1</x:v>
      </x:c>
      <x:c r="B11" s="71" t="str">
        <x:v>Разогрев и возврат автоматизма</x:v>
      </x:c>
      <x:c r="C11" s="85" t="str">
        <x:f>IFERROR(AVERAGEIF('Daily Tracker'!$B$2:$B$57,A10,'Daily Tracker'!$Q$2:$Q$57),"")</x:f>
      </x:c>
      <x:c r="D11" s="82" t="str">
        <x:f>IFERROR(AVERAGEIF('Daily Tracker'!$B$2:$B$57,A10,'Daily Tracker'!$J$2:$J$57),"")</x:f>
      </x:c>
      <x:c r="E11" s="140" t="n">
        <x:f>IFERROR(AVERAGEIF('Daily Tracker'!$B$2:$B$57,A11,'Daily Tracker'!$I$2:$I$57),"")</x:f>
        <x:v>35</x:v>
      </x:c>
      <x:c r="F11" s="65"/>
    </x:row>
    <x:row r="12">
      <x:c r="A12" s="73" t="n">
        <x:v>2</x:v>
      </x:c>
      <x:c r="B12" s="74" t="str">
        <x:v>Прошлое и опыт</x:v>
      </x:c>
      <x:c r="C12" s="86" t="str">
        <x:f>IFERROR(AVERAGEIF('Daily Tracker'!$B$2:$B$57,A11,'Daily Tracker'!$Q$2:$Q$57),"")</x:f>
      </x:c>
      <x:c r="D12" s="83" t="str">
        <x:f>IFERROR(AVERAGEIF('Daily Tracker'!$B$2:$B$57,A11,'Daily Tracker'!$J$2:$J$57),"")</x:f>
      </x:c>
      <x:c r="E12" s="138" t="n">
        <x:f>IFERROR(AVERAGEIF('Daily Tracker'!$B$2:$B$57,A12,'Daily Tracker'!$I$2:$I$57),"")</x:f>
        <x:v>35</x:v>
      </x:c>
      <x:c r="F12" s="65"/>
    </x:row>
    <x:row r="13">
      <x:c r="A13" s="73" t="n">
        <x:v>3</x:v>
      </x:c>
      <x:c r="B13" s="74" t="str">
        <x:v>Будущее и планы</x:v>
      </x:c>
      <x:c r="C13" s="86" t="str">
        <x:f>IFERROR(AVERAGEIF('Daily Tracker'!$B$2:$B$57,A12,'Daily Tracker'!$Q$2:$Q$57),"")</x:f>
      </x:c>
      <x:c r="D13" s="83" t="str">
        <x:f>IFERROR(AVERAGEIF('Daily Tracker'!$B$2:$B$57,A12,'Daily Tracker'!$J$2:$J$57),"")</x:f>
      </x:c>
      <x:c r="E13" s="138" t="n">
        <x:f>IFERROR(AVERAGEIF('Daily Tracker'!$B$2:$B$57,A13,'Daily Tracker'!$I$2:$I$57),"")</x:f>
        <x:v>35</x:v>
      </x:c>
      <x:c r="F13" s="65"/>
    </x:row>
    <x:row r="14">
      <x:c r="A14" s="73" t="n">
        <x:v>4</x:v>
      </x:c>
      <x:c r="B14" s="74" t="str">
        <x:v>Мнение, согласие, несогласие</x:v>
      </x:c>
      <x:c r="C14" s="86" t="str">
        <x:f>IFERROR(AVERAGEIF('Daily Tracker'!$B$2:$B$57,A13,'Daily Tracker'!$Q$2:$Q$57),"")</x:f>
      </x:c>
      <x:c r="D14" s="83" t="str">
        <x:f>IFERROR(AVERAGEIF('Daily Tracker'!$B$2:$B$57,A13,'Daily Tracker'!$J$2:$J$57),"")</x:f>
      </x:c>
      <x:c r="E14" s="138" t="n">
        <x:f>IFERROR(AVERAGEIF('Daily Tracker'!$B$2:$B$57,A14,'Daily Tracker'!$I$2:$I$57),"")</x:f>
        <x:v>35</x:v>
      </x:c>
      <x:c r="F14" s="65"/>
    </x:row>
    <x:row r="15">
      <x:c r="A15" s="73" t="n">
        <x:v>5</x:v>
      </x:c>
      <x:c r="B15" s="74" t="str">
        <x:v>Условия, решения, проблемы</x:v>
      </x:c>
      <x:c r="C15" s="86" t="str">
        <x:f>IFERROR(AVERAGEIF('Daily Tracker'!$B$2:$B$57,A14,'Daily Tracker'!$Q$2:$Q$57),"")</x:f>
      </x:c>
      <x:c r="D15" s="83" t="str">
        <x:f>IFERROR(AVERAGEIF('Daily Tracker'!$B$2:$B$57,A14,'Daily Tracker'!$J$2:$J$57),"")</x:f>
      </x:c>
      <x:c r="E15" s="138" t="n">
        <x:f>IFERROR(AVERAGEIF('Daily Tracker'!$B$2:$B$57,A15,'Daily Tracker'!$I$2:$I$57),"")</x:f>
        <x:v>35</x:v>
      </x:c>
      <x:c r="F15" s="65"/>
    </x:row>
    <x:row r="16">
      <x:c r="A16" s="73" t="n">
        <x:v>6</x:v>
      </x:c>
      <x:c r="B16" s="74" t="str">
        <x:v>Натуральная речь и phrasal verbs</x:v>
      </x:c>
      <x:c r="C16" s="86" t="str">
        <x:f>IFERROR(AVERAGEIF('Daily Tracker'!$B$2:$B$57,A15,'Daily Tracker'!$Q$2:$Q$57),"")</x:f>
      </x:c>
      <x:c r="D16" s="83" t="str">
        <x:f>IFERROR(AVERAGEIF('Daily Tracker'!$B$2:$B$57,A15,'Daily Tracker'!$J$2:$J$57),"")</x:f>
      </x:c>
      <x:c r="E16" s="138" t="n">
        <x:f>IFERROR(AVERAGEIF('Daily Tracker'!$B$2:$B$57,A16,'Daily Tracker'!$I$2:$I$57),"")</x:f>
        <x:v>35</x:v>
      </x:c>
      <x:c r="F16" s="65"/>
    </x:row>
    <x:row r="17">
      <x:c r="A17" s="73" t="n">
        <x:v>7</x:v>
      </x:c>
      <x:c r="B17" s="74" t="str">
        <x:v>Сильное аудирование</x:v>
      </x:c>
      <x:c r="C17" s="86" t="str">
        <x:f>IFERROR(AVERAGEIF('Daily Tracker'!$B$2:$B$57,A16,'Daily Tracker'!$Q$2:$Q$57),"")</x:f>
      </x:c>
      <x:c r="D17" s="83" t="str">
        <x:f>IFERROR(AVERAGEIF('Daily Tracker'!$B$2:$B$57,A16,'Daily Tracker'!$J$2:$J$57),"")</x:f>
      </x:c>
      <x:c r="E17" s="138" t="n">
        <x:f>IFERROR(AVERAGEIF('Daily Tracker'!$B$2:$B$57,A17,'Daily Tracker'!$I$2:$I$57),"")</x:f>
        <x:v>35</x:v>
      </x:c>
      <x:c r="F17" s="65"/>
    </x:row>
    <x:row r="18">
      <x:c r="A18" s="76" t="n">
        <x:v>8</x:v>
      </x:c>
      <x:c r="B18" s="77" t="str">
        <x:v>Интеграция и выход в практику</x:v>
      </x:c>
      <x:c r="C18" s="87" t="str">
        <x:f>IFERROR(AVERAGEIF('Daily Tracker'!$B$2:$B$57,A17,'Daily Tracker'!$Q$2:$Q$57),"")</x:f>
      </x:c>
      <x:c r="D18" s="84" t="str">
        <x:f>IFERROR(AVERAGEIF('Daily Tracker'!$B$2:$B$57,A17,'Daily Tracker'!$J$2:$J$57),"")</x:f>
      </x:c>
      <x:c r="E18" s="141" t="n">
        <x:f>IFERROR(AVERAGEIF('Daily Tracker'!$B$2:$B$57,A18,'Daily Tracker'!$I$2:$I$57),"")</x:f>
        <x:v>35</x:v>
      </x:c>
      <x:c r="F18" s="65"/>
    </x:row>
    <x:row r="19">
      <x:c r="A19" s="65"/>
      <x:c r="B19" s="65"/>
      <x:c r="C19" s="65"/>
      <x:c r="D19" s="65"/>
      <x:c r="E19" s="65"/>
      <x:c r="F19" s="65"/>
    </x:row>
    <x:row r="20">
      <x:c r="A20" s="65"/>
      <x:c r="B20" s="65"/>
      <x:c r="C20" s="65"/>
      <x:c r="D20" s="65"/>
      <x:c r="E20" s="65"/>
      <x:c r="F20" s="65"/>
    </x:row>
    <x:row r="21">
      <x:c r="A21" s="58" t="str">
        <x:v>Week</x:v>
      </x:c>
      <x:c r="B21" s="60" t="str">
        <x:v>Avg Actual Min</x:v>
      </x:c>
    </x:row>
    <x:row r="22">
      <x:c r="A22" s="70" t="n">
        <x:v>1</x:v>
      </x:c>
      <x:c r="B22" s="140" t="str">
        <x:f>IFERROR(AVERAGEIF('Daily Tracker'!$B$2:$B$57,A21,'Daily Tracker'!$J$2:$J$57),"")</x:f>
      </x:c>
    </x:row>
    <x:row r="23">
      <x:c r="A23" s="73" t="n">
        <x:v>2</x:v>
      </x:c>
      <x:c r="B23" s="138" t="str">
        <x:f>IFERROR(AVERAGEIF('Daily Tracker'!$B$2:$B$57,A22,'Daily Tracker'!$J$2:$J$57),"")</x:f>
      </x:c>
    </x:row>
    <x:row r="24">
      <x:c r="A24" s="73" t="n">
        <x:v>3</x:v>
      </x:c>
      <x:c r="B24" s="138" t="str">
        <x:f>IFERROR(AVERAGEIF('Daily Tracker'!$B$2:$B$57,A23,'Daily Tracker'!$J$2:$J$57),"")</x:f>
      </x:c>
    </x:row>
    <x:row r="25">
      <x:c r="A25" s="73" t="n">
        <x:v>4</x:v>
      </x:c>
      <x:c r="B25" s="138" t="str">
        <x:f>IFERROR(AVERAGEIF('Daily Tracker'!$B$2:$B$57,A24,'Daily Tracker'!$J$2:$J$57),"")</x:f>
      </x:c>
    </x:row>
    <x:row r="26">
      <x:c r="A26" s="73" t="n">
        <x:v>5</x:v>
      </x:c>
      <x:c r="B26" s="138" t="str">
        <x:f>IFERROR(AVERAGEIF('Daily Tracker'!$B$2:$B$57,A25,'Daily Tracker'!$J$2:$J$57),"")</x:f>
      </x:c>
    </x:row>
    <x:row r="27">
      <x:c r="A27" s="73" t="n">
        <x:v>6</x:v>
      </x:c>
      <x:c r="B27" s="138" t="str">
        <x:f>IFERROR(AVERAGEIF('Daily Tracker'!$B$2:$B$57,A26,'Daily Tracker'!$J$2:$J$57),"")</x:f>
      </x:c>
    </x:row>
    <x:row r="28">
      <x:c r="A28" s="73" t="n">
        <x:v>7</x:v>
      </x:c>
      <x:c r="B28" s="138" t="str">
        <x:f>IFERROR(AVERAGEIF('Daily Tracker'!$B$2:$B$57,A27,'Daily Tracker'!$J$2:$J$57),"")</x:f>
      </x:c>
    </x:row>
    <x:row r="29">
      <x:c r="A29" s="76" t="n">
        <x:v>8</x:v>
      </x:c>
      <x:c r="B29" s="141" t="str">
        <x:f>IFERROR(AVERAGEIF('Daily Tracker'!$B$2:$B$57,A28,'Daily Tracker'!$J$2:$J$57),"")</x:f>
      </x:c>
    </x:row>
  </x:sheetData>
  <x:mergeCells>
    <x:mergeCell ref="A1:F1"/>
  </x:mergeCells>
  <x:conditionalFormatting sqref="C11:C18">
    <x:cfRule type="dataBar" priority="1">
      <x:dataBar>
        <x:cfvo type="min"/>
        <x:cfvo type="max"/>
        <x:color rgb="70AD47"/>
      </x:dataBar>
    </x:cfRule>
  </x:conditionalFormatting>
  <x:pageMargins left="0.7" right="0.7" top="0.75" bottom="0.75" header="0.3" footer="0.3"/>
  <x:drawing xmlns:r="http://schemas.openxmlformats.org/officeDocument/2006/relationships" r:id="Rdbf41cb8d50f4ac9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7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3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  <x:col min="18" max="18" width="28" hidden="0" customWidth="1"/>
  </x:cols>
  <x:sheetData>
    <x:row r="1">
      <x:c r="A1" s="58" t="str">
        <x:v>Date</x:v>
      </x:c>
      <x:c r="B1" s="59" t="str">
        <x:v>Week</x:v>
      </x:c>
      <x:c r="C1" s="59" t="str">
        <x:v>Day</x:v>
      </x:c>
      <x:c r="D1" s="59" t="str">
        <x:v>Weekly Focus</x:v>
      </x:c>
      <x:c r="E1" s="59" t="str">
        <x:v>Grammar</x:v>
      </x:c>
      <x:c r="F1" s="59" t="str">
        <x:v>Theme</x:v>
      </x:c>
      <x:c r="G1" s="59" t="str">
        <x:v>Day Block</x:v>
      </x:c>
      <x:c r="H1" s="59" t="str">
        <x:v>Task</x:v>
      </x:c>
      <x:c r="I1" s="59" t="str">
        <x:v>Planned Min</x:v>
      </x:c>
      <x:c r="J1" s="59" t="str">
        <x:v>Actual Min</x:v>
      </x:c>
      <x:c r="K1" s="59" t="str">
        <x:v>Vocabulary</x:v>
      </x:c>
      <x:c r="L1" s="59" t="str">
        <x:v>Listening</x:v>
      </x:c>
      <x:c r="M1" s="59" t="str">
        <x:v>Speaking</x:v>
      </x:c>
      <x:c r="N1" s="59" t="str">
        <x:v>Writing</x:v>
      </x:c>
      <x:c r="O1" s="59" t="str">
        <x:v>Review</x:v>
      </x:c>
      <x:c r="P1" s="59" t="str">
        <x:v>Voice</x:v>
      </x:c>
      <x:c r="Q1" s="59" t="str">
        <x:v>Completion %</x:v>
      </x:c>
      <x:c r="R1" s="60" t="str">
        <x:v>Notes</x:v>
      </x:c>
    </x:row>
    <x:row r="2" ht="34" customHeight="1">
      <x:c r="A2" s="79" t="n">
        <x:v>46132</x:v>
      </x:c>
      <x:c r="B2" s="94" t="n">
        <x:v>1</x:v>
      </x:c>
      <x:c r="C2" s="95" t="str">
        <x:v>Mon</x:v>
      </x:c>
      <x:c r="D2" s="71" t="str">
        <x:v>Разогрев и возврат автоматизма</x:v>
      </x:c>
      <x:c r="E2" s="71" t="str">
        <x:v>Present Simple, Present Continuous</x:v>
      </x:c>
      <x:c r="F2" s="71" t="str">
        <x:v>introducing yourself, daily routine, work and responsibilities</x:v>
      </x:c>
      <x:c r="G2" s="71" t="str">
        <x:v>Vocabulary + Listening</x:v>
      </x:c>
      <x:c r="H2" s="71" t="str">
        <x:v>Выучи 5-7 фраз, послушай 1 короткое видео, перескажи вслух</x:v>
      </x:c>
      <x:c r="I2" s="118" t="n">
        <x:v>35</x:v>
      </x:c>
      <x:c r="J2" s="119"/>
      <x:c r="K2" s="120"/>
      <x:c r="L2" s="120"/>
      <x:c r="M2" s="120"/>
      <x:c r="N2" s="120"/>
      <x:c r="O2" s="120"/>
      <x:c r="P2" s="120"/>
      <x:c r="Q2" s="121" t="str">
        <x:f>IF(COUNTA(K2:P2)=0,"",(COUNTIF(K2:P2,"Done")+0.5*COUNTIF(K2:P2,"Partial"))/6)</x:f>
      </x:c>
      <x:c r="R2" s="72"/>
    </x:row>
    <x:row r="3" ht="34" customHeight="1">
      <x:c r="A3" s="80" t="n">
        <x:v>46133</x:v>
      </x:c>
      <x:c r="B3" s="96" t="n">
        <x:v>1</x:v>
      </x:c>
      <x:c r="C3" s="97" t="str">
        <x:v>Tue</x:v>
      </x:c>
      <x:c r="D3" s="74" t="str">
        <x:v>Разогрев и возврат автоматизма</x:v>
      </x:c>
      <x:c r="E3" s="74" t="str">
        <x:v>Present Simple, Present Continuous</x:v>
      </x:c>
      <x:c r="F3" s="74" t="str">
        <x:v>introducing yourself, daily routine, work and responsibilities</x:v>
      </x:c>
      <x:c r="G3" s="74" t="str">
        <x:v>Grammar + Speaking</x:v>
      </x:c>
      <x:c r="H3" s="74" t="str">
        <x:v>Разбери grammar block недели, сделай 10-15 своих предложений, 2 минуты speaking</x:v>
      </x:c>
      <x:c r="I3" s="122" t="n">
        <x:v>35</x:v>
      </x:c>
      <x:c r="J3" s="123"/>
      <x:c r="K3" s="124"/>
      <x:c r="L3" s="124"/>
      <x:c r="M3" s="124"/>
      <x:c r="N3" s="124"/>
      <x:c r="O3" s="124"/>
      <x:c r="P3" s="124"/>
      <x:c r="Q3" s="125" t="str">
        <x:f>IF(COUNTA(K3:P3)=0,"",(COUNTIF(K3:P3,"Done")+0.5*COUNTIF(K3:P3,"Partial"))/6)</x:f>
      </x:c>
      <x:c r="R3" s="75"/>
    </x:row>
    <x:row r="4" ht="34" customHeight="1">
      <x:c r="A4" s="80" t="n">
        <x:v>46134</x:v>
      </x:c>
      <x:c r="B4" s="96" t="n">
        <x:v>1</x:v>
      </x:c>
      <x:c r="C4" s="97" t="str">
        <x:v>Wed</x:v>
      </x:c>
      <x:c r="D4" s="74" t="str">
        <x:v>Разогрев и возврат автоматизма</x:v>
      </x:c>
      <x:c r="E4" s="74" t="str">
        <x:v>Present Simple, Present Continuous</x:v>
      </x:c>
      <x:c r="F4" s="74" t="str">
        <x:v>introducing yourself, daily routine, work and responsibilities</x:v>
      </x:c>
      <x:c r="G4" s="74" t="str">
        <x:v>Listening + Shadowing</x:v>
      </x:c>
      <x:c r="H4" s="74" t="str">
        <x:v>Короткий отрывок: слушай, повторяй за диктором, запиши себя</x:v>
      </x:c>
      <x:c r="I4" s="122" t="n">
        <x:v>35</x:v>
      </x:c>
      <x:c r="J4" s="123"/>
      <x:c r="K4" s="124"/>
      <x:c r="L4" s="124"/>
      <x:c r="M4" s="124"/>
      <x:c r="N4" s="124"/>
      <x:c r="O4" s="124"/>
      <x:c r="P4" s="124"/>
      <x:c r="Q4" s="125" t="str">
        <x:f>IF(COUNTA(K4:P4)=0,"",(COUNTIF(K4:P4,"Done")+0.5*COUNTIF(K4:P4,"Partial"))/6)</x:f>
      </x:c>
      <x:c r="R4" s="75"/>
    </x:row>
    <x:row r="5" ht="34" customHeight="1">
      <x:c r="A5" s="80" t="n">
        <x:v>46135</x:v>
      </x:c>
      <x:c r="B5" s="96" t="n">
        <x:v>1</x:v>
      </x:c>
      <x:c r="C5" s="97" t="str">
        <x:v>Thu</x:v>
      </x:c>
      <x:c r="D5" s="74" t="str">
        <x:v>Разогрев и возврат автоматизма</x:v>
      </x:c>
      <x:c r="E5" s="74" t="str">
        <x:v>Present Simple, Present Continuous</x:v>
      </x:c>
      <x:c r="F5" s="74" t="str">
        <x:v>introducing yourself, daily routine, work and responsibilities</x:v>
      </x:c>
      <x:c r="G5" s="74" t="str">
        <x:v>Reading + Vocabulary</x:v>
      </x:c>
      <x:c r="H5" s="74" t="str">
        <x:v>Прочитай короткий текст, выпиши 5 фраз, составь свои примеры</x:v>
      </x:c>
      <x:c r="I5" s="122" t="n">
        <x:v>35</x:v>
      </x:c>
      <x:c r="J5" s="123"/>
      <x:c r="K5" s="124"/>
      <x:c r="L5" s="124"/>
      <x:c r="M5" s="124"/>
      <x:c r="N5" s="124"/>
      <x:c r="O5" s="124"/>
      <x:c r="P5" s="124"/>
      <x:c r="Q5" s="125" t="str">
        <x:f>IF(COUNTA(K5:P5)=0,"",(COUNTIF(K5:P5,"Done")+0.5*COUNTIF(K5:P5,"Partial"))/6)</x:f>
      </x:c>
      <x:c r="R5" s="75"/>
    </x:row>
    <x:row r="6" ht="34" customHeight="1">
      <x:c r="A6" s="80" t="n">
        <x:v>46136</x:v>
      </x:c>
      <x:c r="B6" s="96" t="n">
        <x:v>1</x:v>
      </x:c>
      <x:c r="C6" s="97" t="str">
        <x:v>Fri</x:v>
      </x:c>
      <x:c r="D6" s="74" t="str">
        <x:v>Разогрев и возврат автоматизма</x:v>
      </x:c>
      <x:c r="E6" s="74" t="str">
        <x:v>Present Simple, Present Continuous</x:v>
      </x:c>
      <x:c r="F6" s="74" t="str">
        <x:v>introducing yourself, daily routine, work and responsibilities</x:v>
      </x:c>
      <x:c r="G6" s="74" t="str">
        <x:v>Speaking + Writing</x:v>
      </x:c>
      <x:c r="H6" s="74" t="str">
        <x:v>2-3 минуты свободной речи, затем 8-10 предложений письменно</x:v>
      </x:c>
      <x:c r="I6" s="122" t="n">
        <x:v>35</x:v>
      </x:c>
      <x:c r="J6" s="123"/>
      <x:c r="K6" s="124"/>
      <x:c r="L6" s="124"/>
      <x:c r="M6" s="124"/>
      <x:c r="N6" s="124"/>
      <x:c r="O6" s="124"/>
      <x:c r="P6" s="124"/>
      <x:c r="Q6" s="125" t="str">
        <x:f>IF(COUNTA(K6:P6)=0,"",(COUNTIF(K6:P6,"Done")+0.5*COUNTIF(K6:P6,"Partial"))/6)</x:f>
      </x:c>
      <x:c r="R6" s="75"/>
    </x:row>
    <x:row r="7" ht="34" customHeight="1">
      <x:c r="A7" s="80" t="n">
        <x:v>46137</x:v>
      </x:c>
      <x:c r="B7" s="96" t="n">
        <x:v>1</x:v>
      </x:c>
      <x:c r="C7" s="97" t="str">
        <x:v>Sat</x:v>
      </x:c>
      <x:c r="D7" s="74" t="str">
        <x:v>Разогрев и возврат автоматизма</x:v>
      </x:c>
      <x:c r="E7" s="74" t="str">
        <x:v>Present Simple, Present Continuous</x:v>
      </x:c>
      <x:c r="F7" s="74" t="str">
        <x:v>introducing yourself, daily routine, work and responsibilities</x:v>
      </x:c>
      <x:c r="G7" s="74" t="str">
        <x:v>Long Practice</x:v>
      </x:c>
      <x:c r="H7" s="74" t="str">
        <x:v>45-60 минут: видео, интервью, подкаст или разговор, затем summary</x:v>
      </x:c>
      <x:c r="I7" s="122" t="n">
        <x:v>50</x:v>
      </x:c>
      <x:c r="J7" s="123"/>
      <x:c r="K7" s="124"/>
      <x:c r="L7" s="124"/>
      <x:c r="M7" s="124"/>
      <x:c r="N7" s="124"/>
      <x:c r="O7" s="124"/>
      <x:c r="P7" s="124"/>
      <x:c r="Q7" s="125" t="str">
        <x:f>IF(COUNTA(K7:P7)=0,"",(COUNTIF(K7:P7,"Done")+0.5*COUNTIF(K7:P7,"Partial"))/6)</x:f>
      </x:c>
      <x:c r="R7" s="75"/>
    </x:row>
    <x:row r="8" ht="34" customHeight="1">
      <x:c r="A8" s="80" t="n">
        <x:v>46138</x:v>
      </x:c>
      <x:c r="B8" s="96" t="n">
        <x:v>1</x:v>
      </x:c>
      <x:c r="C8" s="97" t="str">
        <x:v>Sun</x:v>
      </x:c>
      <x:c r="D8" s="74" t="str">
        <x:v>Разогрев и возврат автоматизма</x:v>
      </x:c>
      <x:c r="E8" s="74" t="str">
        <x:v>Present Simple, Present Continuous</x:v>
      </x:c>
      <x:c r="F8" s="74" t="str">
        <x:v>introducing yourself, daily routine, work and responsibilities</x:v>
      </x:c>
      <x:c r="G8" s="74" t="str">
        <x:v>Light Review</x:v>
      </x:c>
      <x:c r="H8" s="74" t="str">
        <x:v>Повтори карточки, 5 минут речи, без перегруза</x:v>
      </x:c>
      <x:c r="I8" s="122" t="n">
        <x:v>20</x:v>
      </x:c>
      <x:c r="J8" s="123"/>
      <x:c r="K8" s="124"/>
      <x:c r="L8" s="124"/>
      <x:c r="M8" s="124"/>
      <x:c r="N8" s="124"/>
      <x:c r="O8" s="124"/>
      <x:c r="P8" s="124"/>
      <x:c r="Q8" s="125" t="str">
        <x:f>IF(COUNTA(K8:P8)=0,"",(COUNTIF(K8:P8,"Done")+0.5*COUNTIF(K8:P8,"Partial"))/6)</x:f>
      </x:c>
      <x:c r="R8" s="75"/>
    </x:row>
    <x:row r="9" ht="34" customHeight="1">
      <x:c r="A9" s="80" t="n">
        <x:v>46139</x:v>
      </x:c>
      <x:c r="B9" s="96" t="n">
        <x:v>2</x:v>
      </x:c>
      <x:c r="C9" s="97" t="str">
        <x:v>Mon</x:v>
      </x:c>
      <x:c r="D9" s="74" t="str">
        <x:v>Прошлое и опыт</x:v>
      </x:c>
      <x:c r="E9" s="74" t="str">
        <x:v>Past Simple, Present Perfect</x:v>
      </x:c>
      <x:c r="F9" s="74" t="str">
        <x:v>previous work, past decisions, experience and results</x:v>
      </x:c>
      <x:c r="G9" s="74" t="str">
        <x:v>Vocabulary + Listening</x:v>
      </x:c>
      <x:c r="H9" s="74" t="str">
        <x:v>Выучи 5-7 фраз, послушай 1 короткое видео, перескажи вслух</x:v>
      </x:c>
      <x:c r="I9" s="122" t="n">
        <x:v>35</x:v>
      </x:c>
      <x:c r="J9" s="123"/>
      <x:c r="K9" s="124"/>
      <x:c r="L9" s="124"/>
      <x:c r="M9" s="124"/>
      <x:c r="N9" s="124"/>
      <x:c r="O9" s="124"/>
      <x:c r="P9" s="124"/>
      <x:c r="Q9" s="125" t="str">
        <x:f>IF(COUNTA(K9:P9)=0,"",(COUNTIF(K9:P9,"Done")+0.5*COUNTIF(K9:P9,"Partial"))/6)</x:f>
      </x:c>
      <x:c r="R9" s="75"/>
    </x:row>
    <x:row r="10" ht="34" customHeight="1">
      <x:c r="A10" s="80" t="n">
        <x:v>46140</x:v>
      </x:c>
      <x:c r="B10" s="96" t="n">
        <x:v>2</x:v>
      </x:c>
      <x:c r="C10" s="97" t="str">
        <x:v>Tue</x:v>
      </x:c>
      <x:c r="D10" s="74" t="str">
        <x:v>Прошлое и опыт</x:v>
      </x:c>
      <x:c r="E10" s="74" t="str">
        <x:v>Past Simple, Present Perfect</x:v>
      </x:c>
      <x:c r="F10" s="74" t="str">
        <x:v>previous work, past decisions, experience and results</x:v>
      </x:c>
      <x:c r="G10" s="74" t="str">
        <x:v>Grammar + Speaking</x:v>
      </x:c>
      <x:c r="H10" s="74" t="str">
        <x:v>Разбери grammar block недели, сделай 10-15 своих предложений, 2 минуты speaking</x:v>
      </x:c>
      <x:c r="I10" s="122" t="n">
        <x:v>35</x:v>
      </x:c>
      <x:c r="J10" s="123"/>
      <x:c r="K10" s="124"/>
      <x:c r="L10" s="124"/>
      <x:c r="M10" s="124"/>
      <x:c r="N10" s="124"/>
      <x:c r="O10" s="124"/>
      <x:c r="P10" s="124"/>
      <x:c r="Q10" s="125" t="str">
        <x:f>IF(COUNTA(K10:P10)=0,"",(COUNTIF(K10:P10,"Done")+0.5*COUNTIF(K10:P10,"Partial"))/6)</x:f>
      </x:c>
      <x:c r="R10" s="75"/>
    </x:row>
    <x:row r="11" ht="34" customHeight="1">
      <x:c r="A11" s="80" t="n">
        <x:v>46141</x:v>
      </x:c>
      <x:c r="B11" s="96" t="n">
        <x:v>2</x:v>
      </x:c>
      <x:c r="C11" s="97" t="str">
        <x:v>Wed</x:v>
      </x:c>
      <x:c r="D11" s="74" t="str">
        <x:v>Прошлое и опыт</x:v>
      </x:c>
      <x:c r="E11" s="74" t="str">
        <x:v>Past Simple, Present Perfect</x:v>
      </x:c>
      <x:c r="F11" s="74" t="str">
        <x:v>previous work, past decisions, experience and results</x:v>
      </x:c>
      <x:c r="G11" s="74" t="str">
        <x:v>Listening + Shadowing</x:v>
      </x:c>
      <x:c r="H11" s="74" t="str">
        <x:v>Короткий отрывок: слушай, повторяй за диктором, запиши себя</x:v>
      </x:c>
      <x:c r="I11" s="122" t="n">
        <x:v>35</x:v>
      </x:c>
      <x:c r="J11" s="123"/>
      <x:c r="K11" s="124"/>
      <x:c r="L11" s="124"/>
      <x:c r="M11" s="124"/>
      <x:c r="N11" s="124"/>
      <x:c r="O11" s="124"/>
      <x:c r="P11" s="124"/>
      <x:c r="Q11" s="125" t="str">
        <x:f>IF(COUNTA(K11:P11)=0,"",(COUNTIF(K11:P11,"Done")+0.5*COUNTIF(K11:P11,"Partial"))/6)</x:f>
      </x:c>
      <x:c r="R11" s="75"/>
    </x:row>
    <x:row r="12" ht="34" customHeight="1">
      <x:c r="A12" s="80" t="n">
        <x:v>46142</x:v>
      </x:c>
      <x:c r="B12" s="96" t="n">
        <x:v>2</x:v>
      </x:c>
      <x:c r="C12" s="97" t="str">
        <x:v>Thu</x:v>
      </x:c>
      <x:c r="D12" s="74" t="str">
        <x:v>Прошлое и опыт</x:v>
      </x:c>
      <x:c r="E12" s="74" t="str">
        <x:v>Past Simple, Present Perfect</x:v>
      </x:c>
      <x:c r="F12" s="74" t="str">
        <x:v>previous work, past decisions, experience and results</x:v>
      </x:c>
      <x:c r="G12" s="74" t="str">
        <x:v>Reading + Vocabulary</x:v>
      </x:c>
      <x:c r="H12" s="74" t="str">
        <x:v>Прочитай короткий текст, выпиши 5 фраз, составь свои примеры</x:v>
      </x:c>
      <x:c r="I12" s="122" t="n">
        <x:v>35</x:v>
      </x:c>
      <x:c r="J12" s="123"/>
      <x:c r="K12" s="124"/>
      <x:c r="L12" s="124"/>
      <x:c r="M12" s="124"/>
      <x:c r="N12" s="124"/>
      <x:c r="O12" s="124"/>
      <x:c r="P12" s="124"/>
      <x:c r="Q12" s="125" t="str">
        <x:f>IF(COUNTA(K12:P12)=0,"",(COUNTIF(K12:P12,"Done")+0.5*COUNTIF(K12:P12,"Partial"))/6)</x:f>
      </x:c>
      <x:c r="R12" s="75"/>
    </x:row>
    <x:row r="13" ht="34" customHeight="1">
      <x:c r="A13" s="80" t="n">
        <x:v>46143</x:v>
      </x:c>
      <x:c r="B13" s="96" t="n">
        <x:v>2</x:v>
      </x:c>
      <x:c r="C13" s="97" t="str">
        <x:v>Fri</x:v>
      </x:c>
      <x:c r="D13" s="74" t="str">
        <x:v>Прошлое и опыт</x:v>
      </x:c>
      <x:c r="E13" s="74" t="str">
        <x:v>Past Simple, Present Perfect</x:v>
      </x:c>
      <x:c r="F13" s="74" t="str">
        <x:v>previous work, past decisions, experience and results</x:v>
      </x:c>
      <x:c r="G13" s="74" t="str">
        <x:v>Speaking + Writing</x:v>
      </x:c>
      <x:c r="H13" s="74" t="str">
        <x:v>2-3 минуты свободной речи, затем 8-10 предложений письменно</x:v>
      </x:c>
      <x:c r="I13" s="122" t="n">
        <x:v>35</x:v>
      </x:c>
      <x:c r="J13" s="123"/>
      <x:c r="K13" s="124"/>
      <x:c r="L13" s="124"/>
      <x:c r="M13" s="124"/>
      <x:c r="N13" s="124"/>
      <x:c r="O13" s="124"/>
      <x:c r="P13" s="124"/>
      <x:c r="Q13" s="125" t="str">
        <x:f>IF(COUNTA(K13:P13)=0,"",(COUNTIF(K13:P13,"Done")+0.5*COUNTIF(K13:P13,"Partial"))/6)</x:f>
      </x:c>
      <x:c r="R13" s="75"/>
    </x:row>
    <x:row r="14" ht="34" customHeight="1">
      <x:c r="A14" s="80" t="n">
        <x:v>46144</x:v>
      </x:c>
      <x:c r="B14" s="96" t="n">
        <x:v>2</x:v>
      </x:c>
      <x:c r="C14" s="97" t="str">
        <x:v>Sat</x:v>
      </x:c>
      <x:c r="D14" s="74" t="str">
        <x:v>Прошлое и опыт</x:v>
      </x:c>
      <x:c r="E14" s="74" t="str">
        <x:v>Past Simple, Present Perfect</x:v>
      </x:c>
      <x:c r="F14" s="74" t="str">
        <x:v>previous work, past decisions, experience and results</x:v>
      </x:c>
      <x:c r="G14" s="74" t="str">
        <x:v>Long Practice</x:v>
      </x:c>
      <x:c r="H14" s="74" t="str">
        <x:v>45-60 минут: видео, интервью, подкаст или разговор, затем summary</x:v>
      </x:c>
      <x:c r="I14" s="122" t="n">
        <x:v>50</x:v>
      </x:c>
      <x:c r="J14" s="123"/>
      <x:c r="K14" s="124"/>
      <x:c r="L14" s="124"/>
      <x:c r="M14" s="124"/>
      <x:c r="N14" s="124"/>
      <x:c r="O14" s="124"/>
      <x:c r="P14" s="124"/>
      <x:c r="Q14" s="125" t="str">
        <x:f>IF(COUNTA(K14:P14)=0,"",(COUNTIF(K14:P14,"Done")+0.5*COUNTIF(K14:P14,"Partial"))/6)</x:f>
      </x:c>
      <x:c r="R14" s="75"/>
    </x:row>
    <x:row r="15" ht="34" customHeight="1">
      <x:c r="A15" s="80" t="n">
        <x:v>46145</x:v>
      </x:c>
      <x:c r="B15" s="96" t="n">
        <x:v>2</x:v>
      </x:c>
      <x:c r="C15" s="97" t="str">
        <x:v>Sun</x:v>
      </x:c>
      <x:c r="D15" s="74" t="str">
        <x:v>Прошлое и опыт</x:v>
      </x:c>
      <x:c r="E15" s="74" t="str">
        <x:v>Past Simple, Present Perfect</x:v>
      </x:c>
      <x:c r="F15" s="74" t="str">
        <x:v>previous work, past decisions, experience and results</x:v>
      </x:c>
      <x:c r="G15" s="74" t="str">
        <x:v>Light Review</x:v>
      </x:c>
      <x:c r="H15" s="74" t="str">
        <x:v>Повтори карточки, 5 минут речи, без перегруза</x:v>
      </x:c>
      <x:c r="I15" s="122" t="n">
        <x:v>20</x:v>
      </x:c>
      <x:c r="J15" s="123"/>
      <x:c r="K15" s="124"/>
      <x:c r="L15" s="124"/>
      <x:c r="M15" s="124"/>
      <x:c r="N15" s="124"/>
      <x:c r="O15" s="124"/>
      <x:c r="P15" s="124"/>
      <x:c r="Q15" s="125" t="str">
        <x:f>IF(COUNTA(K15:P15)=0,"",(COUNTIF(K15:P15,"Done")+0.5*COUNTIF(K15:P15,"Partial"))/6)</x:f>
      </x:c>
      <x:c r="R15" s="75"/>
    </x:row>
    <x:row r="16" ht="34" customHeight="1">
      <x:c r="A16" s="80" t="n">
        <x:v>46146</x:v>
      </x:c>
      <x:c r="B16" s="96" t="n">
        <x:v>3</x:v>
      </x:c>
      <x:c r="C16" s="97" t="str">
        <x:v>Mon</x:v>
      </x:c>
      <x:c r="D16" s="74" t="str">
        <x:v>Будущее и планы</x:v>
      </x:c>
      <x:c r="E16" s="74" t="str">
        <x:v>will, going to, Present Continuous for plans</x:v>
      </x:c>
      <x:c r="F16" s="74" t="str">
        <x:v>next week plans, goals, priorities</x:v>
      </x:c>
      <x:c r="G16" s="74" t="str">
        <x:v>Vocabulary + Listening</x:v>
      </x:c>
      <x:c r="H16" s="74" t="str">
        <x:v>Выучи 5-7 фраз, послушай 1 короткое видео, перескажи вслух</x:v>
      </x:c>
      <x:c r="I16" s="122" t="n">
        <x:v>35</x:v>
      </x:c>
      <x:c r="J16" s="123"/>
      <x:c r="K16" s="124"/>
      <x:c r="L16" s="124"/>
      <x:c r="M16" s="124"/>
      <x:c r="N16" s="124"/>
      <x:c r="O16" s="124"/>
      <x:c r="P16" s="124"/>
      <x:c r="Q16" s="125" t="str">
        <x:f>IF(COUNTA(K16:P16)=0,"",(COUNTIF(K16:P16,"Done")+0.5*COUNTIF(K16:P16,"Partial"))/6)</x:f>
      </x:c>
      <x:c r="R16" s="75"/>
    </x:row>
    <x:row r="17" ht="34" customHeight="1">
      <x:c r="A17" s="80" t="n">
        <x:v>46147</x:v>
      </x:c>
      <x:c r="B17" s="96" t="n">
        <x:v>3</x:v>
      </x:c>
      <x:c r="C17" s="97" t="str">
        <x:v>Tue</x:v>
      </x:c>
      <x:c r="D17" s="74" t="str">
        <x:v>Будущее и планы</x:v>
      </x:c>
      <x:c r="E17" s="74" t="str">
        <x:v>will, going to, Present Continuous for plans</x:v>
      </x:c>
      <x:c r="F17" s="74" t="str">
        <x:v>next week plans, goals, priorities</x:v>
      </x:c>
      <x:c r="G17" s="74" t="str">
        <x:v>Grammar + Speaking</x:v>
      </x:c>
      <x:c r="H17" s="74" t="str">
        <x:v>Разбери grammar block недели, сделай 10-15 своих предложений, 2 минуты speaking</x:v>
      </x:c>
      <x:c r="I17" s="122" t="n">
        <x:v>35</x:v>
      </x:c>
      <x:c r="J17" s="123"/>
      <x:c r="K17" s="124"/>
      <x:c r="L17" s="124"/>
      <x:c r="M17" s="124"/>
      <x:c r="N17" s="124"/>
      <x:c r="O17" s="124"/>
      <x:c r="P17" s="124"/>
      <x:c r="Q17" s="125" t="str">
        <x:f>IF(COUNTA(K17:P17)=0,"",(COUNTIF(K17:P17,"Done")+0.5*COUNTIF(K17:P17,"Partial"))/6)</x:f>
      </x:c>
      <x:c r="R17" s="75"/>
    </x:row>
    <x:row r="18" ht="34" customHeight="1">
      <x:c r="A18" s="80" t="n">
        <x:v>46148</x:v>
      </x:c>
      <x:c r="B18" s="96" t="n">
        <x:v>3</x:v>
      </x:c>
      <x:c r="C18" s="97" t="str">
        <x:v>Wed</x:v>
      </x:c>
      <x:c r="D18" s="74" t="str">
        <x:v>Будущее и планы</x:v>
      </x:c>
      <x:c r="E18" s="74" t="str">
        <x:v>will, going to, Present Continuous for plans</x:v>
      </x:c>
      <x:c r="F18" s="74" t="str">
        <x:v>next week plans, goals, priorities</x:v>
      </x:c>
      <x:c r="G18" s="74" t="str">
        <x:v>Listening + Shadowing</x:v>
      </x:c>
      <x:c r="H18" s="74" t="str">
        <x:v>Короткий отрывок: слушай, повторяй за диктором, запиши себя</x:v>
      </x:c>
      <x:c r="I18" s="122" t="n">
        <x:v>35</x:v>
      </x:c>
      <x:c r="J18" s="123"/>
      <x:c r="K18" s="124"/>
      <x:c r="L18" s="124"/>
      <x:c r="M18" s="124"/>
      <x:c r="N18" s="124"/>
      <x:c r="O18" s="124"/>
      <x:c r="P18" s="124"/>
      <x:c r="Q18" s="125" t="str">
        <x:f>IF(COUNTA(K18:P18)=0,"",(COUNTIF(K18:P18,"Done")+0.5*COUNTIF(K18:P18,"Partial"))/6)</x:f>
      </x:c>
      <x:c r="R18" s="75"/>
    </x:row>
    <x:row r="19" ht="34" customHeight="1">
      <x:c r="A19" s="80" t="n">
        <x:v>46149</x:v>
      </x:c>
      <x:c r="B19" s="96" t="n">
        <x:v>3</x:v>
      </x:c>
      <x:c r="C19" s="97" t="str">
        <x:v>Thu</x:v>
      </x:c>
      <x:c r="D19" s="74" t="str">
        <x:v>Будущее и планы</x:v>
      </x:c>
      <x:c r="E19" s="74" t="str">
        <x:v>will, going to, Present Continuous for plans</x:v>
      </x:c>
      <x:c r="F19" s="74" t="str">
        <x:v>next week plans, goals, priorities</x:v>
      </x:c>
      <x:c r="G19" s="74" t="str">
        <x:v>Reading + Vocabulary</x:v>
      </x:c>
      <x:c r="H19" s="74" t="str">
        <x:v>Прочитай короткий текст, выпиши 5 фраз, составь свои примеры</x:v>
      </x:c>
      <x:c r="I19" s="122" t="n">
        <x:v>35</x:v>
      </x:c>
      <x:c r="J19" s="123"/>
      <x:c r="K19" s="124"/>
      <x:c r="L19" s="124"/>
      <x:c r="M19" s="124"/>
      <x:c r="N19" s="124"/>
      <x:c r="O19" s="124"/>
      <x:c r="P19" s="124"/>
      <x:c r="Q19" s="125" t="str">
        <x:f>IF(COUNTA(K19:P19)=0,"",(COUNTIF(K19:P19,"Done")+0.5*COUNTIF(K19:P19,"Partial"))/6)</x:f>
      </x:c>
      <x:c r="R19" s="75"/>
    </x:row>
    <x:row r="20" ht="34" customHeight="1">
      <x:c r="A20" s="80" t="n">
        <x:v>46150</x:v>
      </x:c>
      <x:c r="B20" s="96" t="n">
        <x:v>3</x:v>
      </x:c>
      <x:c r="C20" s="97" t="str">
        <x:v>Fri</x:v>
      </x:c>
      <x:c r="D20" s="74" t="str">
        <x:v>Будущее и планы</x:v>
      </x:c>
      <x:c r="E20" s="74" t="str">
        <x:v>will, going to, Present Continuous for plans</x:v>
      </x:c>
      <x:c r="F20" s="74" t="str">
        <x:v>next week plans, goals, priorities</x:v>
      </x:c>
      <x:c r="G20" s="74" t="str">
        <x:v>Speaking + Writing</x:v>
      </x:c>
      <x:c r="H20" s="74" t="str">
        <x:v>2-3 минуты свободной речи, затем 8-10 предложений письменно</x:v>
      </x:c>
      <x:c r="I20" s="122" t="n">
        <x:v>35</x:v>
      </x:c>
      <x:c r="J20" s="123"/>
      <x:c r="K20" s="124"/>
      <x:c r="L20" s="124"/>
      <x:c r="M20" s="124"/>
      <x:c r="N20" s="124"/>
      <x:c r="O20" s="124"/>
      <x:c r="P20" s="124"/>
      <x:c r="Q20" s="125" t="str">
        <x:f>IF(COUNTA(K20:P20)=0,"",(COUNTIF(K20:P20,"Done")+0.5*COUNTIF(K20:P20,"Partial"))/6)</x:f>
      </x:c>
      <x:c r="R20" s="75"/>
    </x:row>
    <x:row r="21" ht="34" customHeight="1">
      <x:c r="A21" s="80" t="n">
        <x:v>46151</x:v>
      </x:c>
      <x:c r="B21" s="96" t="n">
        <x:v>3</x:v>
      </x:c>
      <x:c r="C21" s="97" t="str">
        <x:v>Sat</x:v>
      </x:c>
      <x:c r="D21" s="74" t="str">
        <x:v>Будущее и планы</x:v>
      </x:c>
      <x:c r="E21" s="74" t="str">
        <x:v>will, going to, Present Continuous for plans</x:v>
      </x:c>
      <x:c r="F21" s="74" t="str">
        <x:v>next week plans, goals, priorities</x:v>
      </x:c>
      <x:c r="G21" s="74" t="str">
        <x:v>Long Practice</x:v>
      </x:c>
      <x:c r="H21" s="74" t="str">
        <x:v>45-60 минут: видео, интервью, подкаст или разговор, затем summary</x:v>
      </x:c>
      <x:c r="I21" s="122" t="n">
        <x:v>50</x:v>
      </x:c>
      <x:c r="J21" s="123"/>
      <x:c r="K21" s="124"/>
      <x:c r="L21" s="124"/>
      <x:c r="M21" s="124"/>
      <x:c r="N21" s="124"/>
      <x:c r="O21" s="124"/>
      <x:c r="P21" s="124"/>
      <x:c r="Q21" s="125" t="str">
        <x:f>IF(COUNTA(K21:P21)=0,"",(COUNTIF(K21:P21,"Done")+0.5*COUNTIF(K21:P21,"Partial"))/6)</x:f>
      </x:c>
      <x:c r="R21" s="75"/>
    </x:row>
    <x:row r="22" ht="34" customHeight="1">
      <x:c r="A22" s="80" t="n">
        <x:v>46152</x:v>
      </x:c>
      <x:c r="B22" s="96" t="n">
        <x:v>3</x:v>
      </x:c>
      <x:c r="C22" s="97" t="str">
        <x:v>Sun</x:v>
      </x:c>
      <x:c r="D22" s="74" t="str">
        <x:v>Будущее и планы</x:v>
      </x:c>
      <x:c r="E22" s="74" t="str">
        <x:v>will, going to, Present Continuous for plans</x:v>
      </x:c>
      <x:c r="F22" s="74" t="str">
        <x:v>next week plans, goals, priorities</x:v>
      </x:c>
      <x:c r="G22" s="74" t="str">
        <x:v>Light Review</x:v>
      </x:c>
      <x:c r="H22" s="74" t="str">
        <x:v>Повтори карточки, 5 минут речи, без перегруза</x:v>
      </x:c>
      <x:c r="I22" s="122" t="n">
        <x:v>20</x:v>
      </x:c>
      <x:c r="J22" s="123"/>
      <x:c r="K22" s="124"/>
      <x:c r="L22" s="124"/>
      <x:c r="M22" s="124"/>
      <x:c r="N22" s="124"/>
      <x:c r="O22" s="124"/>
      <x:c r="P22" s="124"/>
      <x:c r="Q22" s="125" t="str">
        <x:f>IF(COUNTA(K22:P22)=0,"",(COUNTIF(K22:P22,"Done")+0.5*COUNTIF(K22:P22,"Partial"))/6)</x:f>
      </x:c>
      <x:c r="R22" s="75"/>
    </x:row>
    <x:row r="23" ht="34" customHeight="1">
      <x:c r="A23" s="80" t="n">
        <x:v>46153</x:v>
      </x:c>
      <x:c r="B23" s="96" t="n">
        <x:v>4</x:v>
      </x:c>
      <x:c r="C23" s="97" t="str">
        <x:v>Mon</x:v>
      </x:c>
      <x:c r="D23" s="74" t="str">
        <x:v>Мнение, согласие, несогласие</x:v>
      </x:c>
      <x:c r="E23" s="74" t="str">
        <x:v>Opinion phrases, linkers</x:v>
      </x:c>
      <x:c r="F23" s="74" t="str">
        <x:v>opinions, pros and cons, preferences</x:v>
      </x:c>
      <x:c r="G23" s="74" t="str">
        <x:v>Vocabulary + Listening</x:v>
      </x:c>
      <x:c r="H23" s="74" t="str">
        <x:v>Выучи 5-7 фраз, послушай 1 короткое видео, перескажи вслух</x:v>
      </x:c>
      <x:c r="I23" s="122" t="n">
        <x:v>35</x:v>
      </x:c>
      <x:c r="J23" s="123"/>
      <x:c r="K23" s="124"/>
      <x:c r="L23" s="124"/>
      <x:c r="M23" s="124"/>
      <x:c r="N23" s="124"/>
      <x:c r="O23" s="124"/>
      <x:c r="P23" s="124"/>
      <x:c r="Q23" s="125" t="str">
        <x:f>IF(COUNTA(K23:P23)=0,"",(COUNTIF(K23:P23,"Done")+0.5*COUNTIF(K23:P23,"Partial"))/6)</x:f>
      </x:c>
      <x:c r="R23" s="75"/>
    </x:row>
    <x:row r="24" ht="34" customHeight="1">
      <x:c r="A24" s="80" t="n">
        <x:v>46154</x:v>
      </x:c>
      <x:c r="B24" s="96" t="n">
        <x:v>4</x:v>
      </x:c>
      <x:c r="C24" s="97" t="str">
        <x:v>Tue</x:v>
      </x:c>
      <x:c r="D24" s="74" t="str">
        <x:v>Мнение, согласие, несогласие</x:v>
      </x:c>
      <x:c r="E24" s="74" t="str">
        <x:v>Opinion phrases, linkers</x:v>
      </x:c>
      <x:c r="F24" s="74" t="str">
        <x:v>opinions, pros and cons, preferences</x:v>
      </x:c>
      <x:c r="G24" s="74" t="str">
        <x:v>Grammar + Speaking</x:v>
      </x:c>
      <x:c r="H24" s="74" t="str">
        <x:v>Разбери grammar block недели, сделай 10-15 своих предложений, 2 минуты speaking</x:v>
      </x:c>
      <x:c r="I24" s="122" t="n">
        <x:v>35</x:v>
      </x:c>
      <x:c r="J24" s="123"/>
      <x:c r="K24" s="124"/>
      <x:c r="L24" s="124"/>
      <x:c r="M24" s="124"/>
      <x:c r="N24" s="124"/>
      <x:c r="O24" s="124"/>
      <x:c r="P24" s="124"/>
      <x:c r="Q24" s="125" t="str">
        <x:f>IF(COUNTA(K24:P24)=0,"",(COUNTIF(K24:P24,"Done")+0.5*COUNTIF(K24:P24,"Partial"))/6)</x:f>
      </x:c>
      <x:c r="R24" s="75"/>
    </x:row>
    <x:row r="25" ht="34" customHeight="1">
      <x:c r="A25" s="80" t="n">
        <x:v>46155</x:v>
      </x:c>
      <x:c r="B25" s="96" t="n">
        <x:v>4</x:v>
      </x:c>
      <x:c r="C25" s="97" t="str">
        <x:v>Wed</x:v>
      </x:c>
      <x:c r="D25" s="74" t="str">
        <x:v>Мнение, согласие, несогласие</x:v>
      </x:c>
      <x:c r="E25" s="74" t="str">
        <x:v>Opinion phrases, linkers</x:v>
      </x:c>
      <x:c r="F25" s="74" t="str">
        <x:v>opinions, pros and cons, preferences</x:v>
      </x:c>
      <x:c r="G25" s="74" t="str">
        <x:v>Listening + Shadowing</x:v>
      </x:c>
      <x:c r="H25" s="74" t="str">
        <x:v>Короткий отрывок: слушай, повторяй за диктором, запиши себя</x:v>
      </x:c>
      <x:c r="I25" s="122" t="n">
        <x:v>35</x:v>
      </x:c>
      <x:c r="J25" s="123"/>
      <x:c r="K25" s="124"/>
      <x:c r="L25" s="124"/>
      <x:c r="M25" s="124"/>
      <x:c r="N25" s="124"/>
      <x:c r="O25" s="124"/>
      <x:c r="P25" s="124"/>
      <x:c r="Q25" s="125" t="str">
        <x:f>IF(COUNTA(K25:P25)=0,"",(COUNTIF(K25:P25,"Done")+0.5*COUNTIF(K25:P25,"Partial"))/6)</x:f>
      </x:c>
      <x:c r="R25" s="75"/>
    </x:row>
    <x:row r="26" ht="34" customHeight="1">
      <x:c r="A26" s="80" t="n">
        <x:v>46156</x:v>
      </x:c>
      <x:c r="B26" s="96" t="n">
        <x:v>4</x:v>
      </x:c>
      <x:c r="C26" s="97" t="str">
        <x:v>Thu</x:v>
      </x:c>
      <x:c r="D26" s="74" t="str">
        <x:v>Мнение, согласие, несогласие</x:v>
      </x:c>
      <x:c r="E26" s="74" t="str">
        <x:v>Opinion phrases, linkers</x:v>
      </x:c>
      <x:c r="F26" s="74" t="str">
        <x:v>opinions, pros and cons, preferences</x:v>
      </x:c>
      <x:c r="G26" s="74" t="str">
        <x:v>Reading + Vocabulary</x:v>
      </x:c>
      <x:c r="H26" s="74" t="str">
        <x:v>Прочитай короткий текст, выпиши 5 фраз, составь свои примеры</x:v>
      </x:c>
      <x:c r="I26" s="122" t="n">
        <x:v>35</x:v>
      </x:c>
      <x:c r="J26" s="123"/>
      <x:c r="K26" s="124"/>
      <x:c r="L26" s="124"/>
      <x:c r="M26" s="124"/>
      <x:c r="N26" s="124"/>
      <x:c r="O26" s="124"/>
      <x:c r="P26" s="124"/>
      <x:c r="Q26" s="125" t="str">
        <x:f>IF(COUNTA(K26:P26)=0,"",(COUNTIF(K26:P26,"Done")+0.5*COUNTIF(K26:P26,"Partial"))/6)</x:f>
      </x:c>
      <x:c r="R26" s="75"/>
    </x:row>
    <x:row r="27" ht="34" customHeight="1">
      <x:c r="A27" s="80" t="n">
        <x:v>46157</x:v>
      </x:c>
      <x:c r="B27" s="96" t="n">
        <x:v>4</x:v>
      </x:c>
      <x:c r="C27" s="97" t="str">
        <x:v>Fri</x:v>
      </x:c>
      <x:c r="D27" s="74" t="str">
        <x:v>Мнение, согласие, несогласие</x:v>
      </x:c>
      <x:c r="E27" s="74" t="str">
        <x:v>Opinion phrases, linkers</x:v>
      </x:c>
      <x:c r="F27" s="74" t="str">
        <x:v>opinions, pros and cons, preferences</x:v>
      </x:c>
      <x:c r="G27" s="74" t="str">
        <x:v>Speaking + Writing</x:v>
      </x:c>
      <x:c r="H27" s="74" t="str">
        <x:v>2-3 минуты свободной речи, затем 8-10 предложений письменно</x:v>
      </x:c>
      <x:c r="I27" s="122" t="n">
        <x:v>35</x:v>
      </x:c>
      <x:c r="J27" s="123"/>
      <x:c r="K27" s="124"/>
      <x:c r="L27" s="124"/>
      <x:c r="M27" s="124"/>
      <x:c r="N27" s="124"/>
      <x:c r="O27" s="124"/>
      <x:c r="P27" s="124"/>
      <x:c r="Q27" s="125" t="str">
        <x:f>IF(COUNTA(K27:P27)=0,"",(COUNTIF(K27:P27,"Done")+0.5*COUNTIF(K27:P27,"Partial"))/6)</x:f>
      </x:c>
      <x:c r="R27" s="75"/>
    </x:row>
    <x:row r="28" ht="34" customHeight="1">
      <x:c r="A28" s="80" t="n">
        <x:v>46158</x:v>
      </x:c>
      <x:c r="B28" s="96" t="n">
        <x:v>4</x:v>
      </x:c>
      <x:c r="C28" s="97" t="str">
        <x:v>Sat</x:v>
      </x:c>
      <x:c r="D28" s="74" t="str">
        <x:v>Мнение, согласие, несогласие</x:v>
      </x:c>
      <x:c r="E28" s="74" t="str">
        <x:v>Opinion phrases, linkers</x:v>
      </x:c>
      <x:c r="F28" s="74" t="str">
        <x:v>opinions, pros and cons, preferences</x:v>
      </x:c>
      <x:c r="G28" s="74" t="str">
        <x:v>Long Practice</x:v>
      </x:c>
      <x:c r="H28" s="74" t="str">
        <x:v>45-60 минут: видео, интервью, подкаст или разговор, затем summary</x:v>
      </x:c>
      <x:c r="I28" s="122" t="n">
        <x:v>50</x:v>
      </x:c>
      <x:c r="J28" s="123"/>
      <x:c r="K28" s="124"/>
      <x:c r="L28" s="124"/>
      <x:c r="M28" s="124"/>
      <x:c r="N28" s="124"/>
      <x:c r="O28" s="124"/>
      <x:c r="P28" s="124"/>
      <x:c r="Q28" s="125" t="str">
        <x:f>IF(COUNTA(K28:P28)=0,"",(COUNTIF(K28:P28,"Done")+0.5*COUNTIF(K28:P28,"Partial"))/6)</x:f>
      </x:c>
      <x:c r="R28" s="75"/>
    </x:row>
    <x:row r="29" ht="34" customHeight="1">
      <x:c r="A29" s="80" t="n">
        <x:v>46159</x:v>
      </x:c>
      <x:c r="B29" s="96" t="n">
        <x:v>4</x:v>
      </x:c>
      <x:c r="C29" s="97" t="str">
        <x:v>Sun</x:v>
      </x:c>
      <x:c r="D29" s="74" t="str">
        <x:v>Мнение, согласие, несогласие</x:v>
      </x:c>
      <x:c r="E29" s="74" t="str">
        <x:v>Opinion phrases, linkers</x:v>
      </x:c>
      <x:c r="F29" s="74" t="str">
        <x:v>opinions, pros and cons, preferences</x:v>
      </x:c>
      <x:c r="G29" s="74" t="str">
        <x:v>Light Review</x:v>
      </x:c>
      <x:c r="H29" s="74" t="str">
        <x:v>Повтори карточки, 5 минут речи, без перегруза</x:v>
      </x:c>
      <x:c r="I29" s="122" t="n">
        <x:v>20</x:v>
      </x:c>
      <x:c r="J29" s="123"/>
      <x:c r="K29" s="124"/>
      <x:c r="L29" s="124"/>
      <x:c r="M29" s="124"/>
      <x:c r="N29" s="124"/>
      <x:c r="O29" s="124"/>
      <x:c r="P29" s="124"/>
      <x:c r="Q29" s="125" t="str">
        <x:f>IF(COUNTA(K29:P29)=0,"",(COUNTIF(K29:P29,"Done")+0.5*COUNTIF(K29:P29,"Partial"))/6)</x:f>
      </x:c>
      <x:c r="R29" s="75"/>
    </x:row>
    <x:row r="30" ht="34" customHeight="1">
      <x:c r="A30" s="80" t="n">
        <x:v>46160</x:v>
      </x:c>
      <x:c r="B30" s="96" t="n">
        <x:v>5</x:v>
      </x:c>
      <x:c r="C30" s="97" t="str">
        <x:v>Mon</x:v>
      </x:c>
      <x:c r="D30" s="74" t="str">
        <x:v>Условия, решения, проблемы</x:v>
      </x:c>
      <x:c r="E30" s="74" t="str">
        <x:v>First and second conditional</x:v>
      </x:c>
      <x:c r="F30" s="74" t="str">
        <x:v>risks, mistakes, decisions, problem solving</x:v>
      </x:c>
      <x:c r="G30" s="74" t="str">
        <x:v>Vocabulary + Listening</x:v>
      </x:c>
      <x:c r="H30" s="74" t="str">
        <x:v>Выучи 5-7 фраз, послушай 1 короткое видео, перескажи вслух</x:v>
      </x:c>
      <x:c r="I30" s="122" t="n">
        <x:v>35</x:v>
      </x:c>
      <x:c r="J30" s="123"/>
      <x:c r="K30" s="124"/>
      <x:c r="L30" s="124"/>
      <x:c r="M30" s="124"/>
      <x:c r="N30" s="124"/>
      <x:c r="O30" s="124"/>
      <x:c r="P30" s="124"/>
      <x:c r="Q30" s="125" t="str">
        <x:f>IF(COUNTA(K30:P30)=0,"",(COUNTIF(K30:P30,"Done")+0.5*COUNTIF(K30:P30,"Partial"))/6)</x:f>
      </x:c>
      <x:c r="R30" s="75"/>
    </x:row>
    <x:row r="31" ht="34" customHeight="1">
      <x:c r="A31" s="80" t="n">
        <x:v>46161</x:v>
      </x:c>
      <x:c r="B31" s="96" t="n">
        <x:v>5</x:v>
      </x:c>
      <x:c r="C31" s="97" t="str">
        <x:v>Tue</x:v>
      </x:c>
      <x:c r="D31" s="74" t="str">
        <x:v>Условия, решения, проблемы</x:v>
      </x:c>
      <x:c r="E31" s="74" t="str">
        <x:v>First and second conditional</x:v>
      </x:c>
      <x:c r="F31" s="74" t="str">
        <x:v>risks, mistakes, decisions, problem solving</x:v>
      </x:c>
      <x:c r="G31" s="74" t="str">
        <x:v>Grammar + Speaking</x:v>
      </x:c>
      <x:c r="H31" s="74" t="str">
        <x:v>Разбери grammar block недели, сделай 10-15 своих предложений, 2 минуты speaking</x:v>
      </x:c>
      <x:c r="I31" s="122" t="n">
        <x:v>35</x:v>
      </x:c>
      <x:c r="J31" s="123"/>
      <x:c r="K31" s="124"/>
      <x:c r="L31" s="124"/>
      <x:c r="M31" s="124"/>
      <x:c r="N31" s="124"/>
      <x:c r="O31" s="124"/>
      <x:c r="P31" s="124"/>
      <x:c r="Q31" s="125" t="str">
        <x:f>IF(COUNTA(K31:P31)=0,"",(COUNTIF(K31:P31,"Done")+0.5*COUNTIF(K31:P31,"Partial"))/6)</x:f>
      </x:c>
      <x:c r="R31" s="75"/>
    </x:row>
    <x:row r="32" ht="34" customHeight="1">
      <x:c r="A32" s="80" t="n">
        <x:v>46162</x:v>
      </x:c>
      <x:c r="B32" s="96" t="n">
        <x:v>5</x:v>
      </x:c>
      <x:c r="C32" s="97" t="str">
        <x:v>Wed</x:v>
      </x:c>
      <x:c r="D32" s="74" t="str">
        <x:v>Условия, решения, проблемы</x:v>
      </x:c>
      <x:c r="E32" s="74" t="str">
        <x:v>First and second conditional</x:v>
      </x:c>
      <x:c r="F32" s="74" t="str">
        <x:v>risks, mistakes, decisions, problem solving</x:v>
      </x:c>
      <x:c r="G32" s="74" t="str">
        <x:v>Listening + Shadowing</x:v>
      </x:c>
      <x:c r="H32" s="74" t="str">
        <x:v>Короткий отрывок: слушай, повторяй за диктором, запиши себя</x:v>
      </x:c>
      <x:c r="I32" s="122" t="n">
        <x:v>35</x:v>
      </x:c>
      <x:c r="J32" s="123"/>
      <x:c r="K32" s="124"/>
      <x:c r="L32" s="124"/>
      <x:c r="M32" s="124"/>
      <x:c r="N32" s="124"/>
      <x:c r="O32" s="124"/>
      <x:c r="P32" s="124"/>
      <x:c r="Q32" s="125" t="str">
        <x:f>IF(COUNTA(K32:P32)=0,"",(COUNTIF(K32:P32,"Done")+0.5*COUNTIF(K32:P32,"Partial"))/6)</x:f>
      </x:c>
      <x:c r="R32" s="75"/>
    </x:row>
    <x:row r="33" ht="34" customHeight="1">
      <x:c r="A33" s="80" t="n">
        <x:v>46163</x:v>
      </x:c>
      <x:c r="B33" s="96" t="n">
        <x:v>5</x:v>
      </x:c>
      <x:c r="C33" s="97" t="str">
        <x:v>Thu</x:v>
      </x:c>
      <x:c r="D33" s="74" t="str">
        <x:v>Условия, решения, проблемы</x:v>
      </x:c>
      <x:c r="E33" s="74" t="str">
        <x:v>First and second conditional</x:v>
      </x:c>
      <x:c r="F33" s="74" t="str">
        <x:v>risks, mistakes, decisions, problem solving</x:v>
      </x:c>
      <x:c r="G33" s="74" t="str">
        <x:v>Reading + Vocabulary</x:v>
      </x:c>
      <x:c r="H33" s="74" t="str">
        <x:v>Прочитай короткий текст, выпиши 5 фраз, составь свои примеры</x:v>
      </x:c>
      <x:c r="I33" s="122" t="n">
        <x:v>35</x:v>
      </x:c>
      <x:c r="J33" s="123"/>
      <x:c r="K33" s="124"/>
      <x:c r="L33" s="124"/>
      <x:c r="M33" s="124"/>
      <x:c r="N33" s="124"/>
      <x:c r="O33" s="124"/>
      <x:c r="P33" s="124"/>
      <x:c r="Q33" s="125" t="str">
        <x:f>IF(COUNTA(K33:P33)=0,"",(COUNTIF(K33:P33,"Done")+0.5*COUNTIF(K33:P33,"Partial"))/6)</x:f>
      </x:c>
      <x:c r="R33" s="75"/>
    </x:row>
    <x:row r="34" ht="34" customHeight="1">
      <x:c r="A34" s="80" t="n">
        <x:v>46164</x:v>
      </x:c>
      <x:c r="B34" s="96" t="n">
        <x:v>5</x:v>
      </x:c>
      <x:c r="C34" s="97" t="str">
        <x:v>Fri</x:v>
      </x:c>
      <x:c r="D34" s="74" t="str">
        <x:v>Условия, решения, проблемы</x:v>
      </x:c>
      <x:c r="E34" s="74" t="str">
        <x:v>First and second conditional</x:v>
      </x:c>
      <x:c r="F34" s="74" t="str">
        <x:v>risks, mistakes, decisions, problem solving</x:v>
      </x:c>
      <x:c r="G34" s="74" t="str">
        <x:v>Speaking + Writing</x:v>
      </x:c>
      <x:c r="H34" s="74" t="str">
        <x:v>2-3 минуты свободной речи, затем 8-10 предложений письменно</x:v>
      </x:c>
      <x:c r="I34" s="122" t="n">
        <x:v>35</x:v>
      </x:c>
      <x:c r="J34" s="123"/>
      <x:c r="K34" s="124"/>
      <x:c r="L34" s="124"/>
      <x:c r="M34" s="124"/>
      <x:c r="N34" s="124"/>
      <x:c r="O34" s="124"/>
      <x:c r="P34" s="124"/>
      <x:c r="Q34" s="125" t="str">
        <x:f>IF(COUNTA(K34:P34)=0,"",(COUNTIF(K34:P34,"Done")+0.5*COUNTIF(K34:P34,"Partial"))/6)</x:f>
      </x:c>
      <x:c r="R34" s="75"/>
    </x:row>
    <x:row r="35" ht="34" customHeight="1">
      <x:c r="A35" s="80" t="n">
        <x:v>46165</x:v>
      </x:c>
      <x:c r="B35" s="96" t="n">
        <x:v>5</x:v>
      </x:c>
      <x:c r="C35" s="97" t="str">
        <x:v>Sat</x:v>
      </x:c>
      <x:c r="D35" s="74" t="str">
        <x:v>Условия, решения, проблемы</x:v>
      </x:c>
      <x:c r="E35" s="74" t="str">
        <x:v>First and second conditional</x:v>
      </x:c>
      <x:c r="F35" s="74" t="str">
        <x:v>risks, mistakes, decisions, problem solving</x:v>
      </x:c>
      <x:c r="G35" s="74" t="str">
        <x:v>Long Practice</x:v>
      </x:c>
      <x:c r="H35" s="74" t="str">
        <x:v>45-60 минут: видео, интервью, подкаст или разговор, затем summary</x:v>
      </x:c>
      <x:c r="I35" s="122" t="n">
        <x:v>50</x:v>
      </x:c>
      <x:c r="J35" s="123"/>
      <x:c r="K35" s="124"/>
      <x:c r="L35" s="124"/>
      <x:c r="M35" s="124"/>
      <x:c r="N35" s="124"/>
      <x:c r="O35" s="124"/>
      <x:c r="P35" s="124"/>
      <x:c r="Q35" s="125" t="str">
        <x:f>IF(COUNTA(K35:P35)=0,"",(COUNTIF(K35:P35,"Done")+0.5*COUNTIF(K35:P35,"Partial"))/6)</x:f>
      </x:c>
      <x:c r="R35" s="75"/>
    </x:row>
    <x:row r="36" ht="34" customHeight="1">
      <x:c r="A36" s="80" t="n">
        <x:v>46166</x:v>
      </x:c>
      <x:c r="B36" s="96" t="n">
        <x:v>5</x:v>
      </x:c>
      <x:c r="C36" s="97" t="str">
        <x:v>Sun</x:v>
      </x:c>
      <x:c r="D36" s="74" t="str">
        <x:v>Условия, решения, проблемы</x:v>
      </x:c>
      <x:c r="E36" s="74" t="str">
        <x:v>First and second conditional</x:v>
      </x:c>
      <x:c r="F36" s="74" t="str">
        <x:v>risks, mistakes, decisions, problem solving</x:v>
      </x:c>
      <x:c r="G36" s="74" t="str">
        <x:v>Light Review</x:v>
      </x:c>
      <x:c r="H36" s="74" t="str">
        <x:v>Повтори карточки, 5 минут речи, без перегруза</x:v>
      </x:c>
      <x:c r="I36" s="122" t="n">
        <x:v>20</x:v>
      </x:c>
      <x:c r="J36" s="123"/>
      <x:c r="K36" s="124"/>
      <x:c r="L36" s="124"/>
      <x:c r="M36" s="124"/>
      <x:c r="N36" s="124"/>
      <x:c r="O36" s="124"/>
      <x:c r="P36" s="124"/>
      <x:c r="Q36" s="125" t="str">
        <x:f>IF(COUNTA(K36:P36)=0,"",(COUNTIF(K36:P36,"Done")+0.5*COUNTIF(K36:P36,"Partial"))/6)</x:f>
      </x:c>
      <x:c r="R36" s="75"/>
    </x:row>
    <x:row r="37" ht="34" customHeight="1">
      <x:c r="A37" s="80" t="n">
        <x:v>46167</x:v>
      </x:c>
      <x:c r="B37" s="96" t="n">
        <x:v>6</x:v>
      </x:c>
      <x:c r="C37" s="97" t="str">
        <x:v>Mon</x:v>
      </x:c>
      <x:c r="D37" s="74" t="str">
        <x:v>Натуральная речь и phrasal verbs</x:v>
      </x:c>
      <x:c r="E37" s="74" t="str">
        <x:v>Phrasal verbs and collocations</x:v>
      </x:c>
      <x:c r="F37" s="74" t="str">
        <x:v>communication, delays, priorities and changes</x:v>
      </x:c>
      <x:c r="G37" s="74" t="str">
        <x:v>Vocabulary + Listening</x:v>
      </x:c>
      <x:c r="H37" s="74" t="str">
        <x:v>Выучи 5-7 фраз, послушай 1 короткое видео, перескажи вслух</x:v>
      </x:c>
      <x:c r="I37" s="122" t="n">
        <x:v>35</x:v>
      </x:c>
      <x:c r="J37" s="123"/>
      <x:c r="K37" s="124"/>
      <x:c r="L37" s="124"/>
      <x:c r="M37" s="124"/>
      <x:c r="N37" s="124"/>
      <x:c r="O37" s="124"/>
      <x:c r="P37" s="124"/>
      <x:c r="Q37" s="125" t="str">
        <x:f>IF(COUNTA(K37:P37)=0,"",(COUNTIF(K37:P37,"Done")+0.5*COUNTIF(K37:P37,"Partial"))/6)</x:f>
      </x:c>
      <x:c r="R37" s="75"/>
    </x:row>
    <x:row r="38" ht="34" customHeight="1">
      <x:c r="A38" s="80" t="n">
        <x:v>46168</x:v>
      </x:c>
      <x:c r="B38" s="96" t="n">
        <x:v>6</x:v>
      </x:c>
      <x:c r="C38" s="97" t="str">
        <x:v>Tue</x:v>
      </x:c>
      <x:c r="D38" s="74" t="str">
        <x:v>Натуральная речь и phrasal verbs</x:v>
      </x:c>
      <x:c r="E38" s="74" t="str">
        <x:v>Phrasal verbs and collocations</x:v>
      </x:c>
      <x:c r="F38" s="74" t="str">
        <x:v>communication, delays, priorities and changes</x:v>
      </x:c>
      <x:c r="G38" s="74" t="str">
        <x:v>Grammar + Speaking</x:v>
      </x:c>
      <x:c r="H38" s="74" t="str">
        <x:v>Разбери grammar block недели, сделай 10-15 своих предложений, 2 минуты speaking</x:v>
      </x:c>
      <x:c r="I38" s="122" t="n">
        <x:v>35</x:v>
      </x:c>
      <x:c r="J38" s="123"/>
      <x:c r="K38" s="124"/>
      <x:c r="L38" s="124"/>
      <x:c r="M38" s="124"/>
      <x:c r="N38" s="124"/>
      <x:c r="O38" s="124"/>
      <x:c r="P38" s="124"/>
      <x:c r="Q38" s="125" t="str">
        <x:f>IF(COUNTA(K38:P38)=0,"",(COUNTIF(K38:P38,"Done")+0.5*COUNTIF(K38:P38,"Partial"))/6)</x:f>
      </x:c>
      <x:c r="R38" s="75"/>
    </x:row>
    <x:row r="39" ht="34" customHeight="1">
      <x:c r="A39" s="80" t="n">
        <x:v>46169</x:v>
      </x:c>
      <x:c r="B39" s="96" t="n">
        <x:v>6</x:v>
      </x:c>
      <x:c r="C39" s="97" t="str">
        <x:v>Wed</x:v>
      </x:c>
      <x:c r="D39" s="74" t="str">
        <x:v>Натуральная речь и phrasal verbs</x:v>
      </x:c>
      <x:c r="E39" s="74" t="str">
        <x:v>Phrasal verbs and collocations</x:v>
      </x:c>
      <x:c r="F39" s="74" t="str">
        <x:v>communication, delays, priorities and changes</x:v>
      </x:c>
      <x:c r="G39" s="74" t="str">
        <x:v>Listening + Shadowing</x:v>
      </x:c>
      <x:c r="H39" s="74" t="str">
        <x:v>Короткий отрывок: слушай, повторяй за диктором, запиши себя</x:v>
      </x:c>
      <x:c r="I39" s="122" t="n">
        <x:v>35</x:v>
      </x:c>
      <x:c r="J39" s="123"/>
      <x:c r="K39" s="124"/>
      <x:c r="L39" s="124"/>
      <x:c r="M39" s="124"/>
      <x:c r="N39" s="124"/>
      <x:c r="O39" s="124"/>
      <x:c r="P39" s="124"/>
      <x:c r="Q39" s="125" t="str">
        <x:f>IF(COUNTA(K39:P39)=0,"",(COUNTIF(K39:P39,"Done")+0.5*COUNTIF(K39:P39,"Partial"))/6)</x:f>
      </x:c>
      <x:c r="R39" s="75"/>
    </x:row>
    <x:row r="40" ht="34" customHeight="1">
      <x:c r="A40" s="80" t="n">
        <x:v>46170</x:v>
      </x:c>
      <x:c r="B40" s="96" t="n">
        <x:v>6</x:v>
      </x:c>
      <x:c r="C40" s="97" t="str">
        <x:v>Thu</x:v>
      </x:c>
      <x:c r="D40" s="74" t="str">
        <x:v>Натуральная речь и phrasal verbs</x:v>
      </x:c>
      <x:c r="E40" s="74" t="str">
        <x:v>Phrasal verbs and collocations</x:v>
      </x:c>
      <x:c r="F40" s="74" t="str">
        <x:v>communication, delays, priorities and changes</x:v>
      </x:c>
      <x:c r="G40" s="74" t="str">
        <x:v>Reading + Vocabulary</x:v>
      </x:c>
      <x:c r="H40" s="74" t="str">
        <x:v>Прочитай короткий текст, выпиши 5 фраз, составь свои примеры</x:v>
      </x:c>
      <x:c r="I40" s="122" t="n">
        <x:v>35</x:v>
      </x:c>
      <x:c r="J40" s="123"/>
      <x:c r="K40" s="124"/>
      <x:c r="L40" s="124"/>
      <x:c r="M40" s="124"/>
      <x:c r="N40" s="124"/>
      <x:c r="O40" s="124"/>
      <x:c r="P40" s="124"/>
      <x:c r="Q40" s="125" t="str">
        <x:f>IF(COUNTA(K40:P40)=0,"",(COUNTIF(K40:P40,"Done")+0.5*COUNTIF(K40:P40,"Partial"))/6)</x:f>
      </x:c>
      <x:c r="R40" s="75"/>
    </x:row>
    <x:row r="41" ht="34" customHeight="1">
      <x:c r="A41" s="80" t="n">
        <x:v>46171</x:v>
      </x:c>
      <x:c r="B41" s="96" t="n">
        <x:v>6</x:v>
      </x:c>
      <x:c r="C41" s="97" t="str">
        <x:v>Fri</x:v>
      </x:c>
      <x:c r="D41" s="74" t="str">
        <x:v>Натуральная речь и phrasal verbs</x:v>
      </x:c>
      <x:c r="E41" s="74" t="str">
        <x:v>Phrasal verbs and collocations</x:v>
      </x:c>
      <x:c r="F41" s="74" t="str">
        <x:v>communication, delays, priorities and changes</x:v>
      </x:c>
      <x:c r="G41" s="74" t="str">
        <x:v>Speaking + Writing</x:v>
      </x:c>
      <x:c r="H41" s="74" t="str">
        <x:v>2-3 минуты свободной речи, затем 8-10 предложений письменно</x:v>
      </x:c>
      <x:c r="I41" s="122" t="n">
        <x:v>35</x:v>
      </x:c>
      <x:c r="J41" s="123"/>
      <x:c r="K41" s="124"/>
      <x:c r="L41" s="124"/>
      <x:c r="M41" s="124"/>
      <x:c r="N41" s="124"/>
      <x:c r="O41" s="124"/>
      <x:c r="P41" s="124"/>
      <x:c r="Q41" s="125" t="str">
        <x:f>IF(COUNTA(K41:P41)=0,"",(COUNTIF(K41:P41,"Done")+0.5*COUNTIF(K41:P41,"Partial"))/6)</x:f>
      </x:c>
      <x:c r="R41" s="75"/>
    </x:row>
    <x:row r="42" ht="34" customHeight="1">
      <x:c r="A42" s="80" t="n">
        <x:v>46172</x:v>
      </x:c>
      <x:c r="B42" s="96" t="n">
        <x:v>6</x:v>
      </x:c>
      <x:c r="C42" s="97" t="str">
        <x:v>Sat</x:v>
      </x:c>
      <x:c r="D42" s="74" t="str">
        <x:v>Натуральная речь и phrasal verbs</x:v>
      </x:c>
      <x:c r="E42" s="74" t="str">
        <x:v>Phrasal verbs and collocations</x:v>
      </x:c>
      <x:c r="F42" s="74" t="str">
        <x:v>communication, delays, priorities and changes</x:v>
      </x:c>
      <x:c r="G42" s="74" t="str">
        <x:v>Long Practice</x:v>
      </x:c>
      <x:c r="H42" s="74" t="str">
        <x:v>45-60 минут: видео, интервью, подкаст или разговор, затем summary</x:v>
      </x:c>
      <x:c r="I42" s="122" t="n">
        <x:v>50</x:v>
      </x:c>
      <x:c r="J42" s="123"/>
      <x:c r="K42" s="124"/>
      <x:c r="L42" s="124"/>
      <x:c r="M42" s="124"/>
      <x:c r="N42" s="124"/>
      <x:c r="O42" s="124"/>
      <x:c r="P42" s="124"/>
      <x:c r="Q42" s="125" t="str">
        <x:f>IF(COUNTA(K42:P42)=0,"",(COUNTIF(K42:P42,"Done")+0.5*COUNTIF(K42:P42,"Partial"))/6)</x:f>
      </x:c>
      <x:c r="R42" s="75"/>
    </x:row>
    <x:row r="43" ht="34" customHeight="1">
      <x:c r="A43" s="80" t="n">
        <x:v>46173</x:v>
      </x:c>
      <x:c r="B43" s="96" t="n">
        <x:v>6</x:v>
      </x:c>
      <x:c r="C43" s="97" t="str">
        <x:v>Sun</x:v>
      </x:c>
      <x:c r="D43" s="74" t="str">
        <x:v>Натуральная речь и phrasal verbs</x:v>
      </x:c>
      <x:c r="E43" s="74" t="str">
        <x:v>Phrasal verbs and collocations</x:v>
      </x:c>
      <x:c r="F43" s="74" t="str">
        <x:v>communication, delays, priorities and changes</x:v>
      </x:c>
      <x:c r="G43" s="74" t="str">
        <x:v>Light Review</x:v>
      </x:c>
      <x:c r="H43" s="74" t="str">
        <x:v>Повтори карточки, 5 минут речи, без перегруза</x:v>
      </x:c>
      <x:c r="I43" s="122" t="n">
        <x:v>20</x:v>
      </x:c>
      <x:c r="J43" s="123"/>
      <x:c r="K43" s="124"/>
      <x:c r="L43" s="124"/>
      <x:c r="M43" s="124"/>
      <x:c r="N43" s="124"/>
      <x:c r="O43" s="124"/>
      <x:c r="P43" s="124"/>
      <x:c r="Q43" s="125" t="str">
        <x:f>IF(COUNTA(K43:P43)=0,"",(COUNTIF(K43:P43,"Done")+0.5*COUNTIF(K43:P43,"Partial"))/6)</x:f>
      </x:c>
      <x:c r="R43" s="75"/>
    </x:row>
    <x:row r="44" ht="34" customHeight="1">
      <x:c r="A44" s="80" t="n">
        <x:v>46174</x:v>
      </x:c>
      <x:c r="B44" s="96" t="n">
        <x:v>7</x:v>
      </x:c>
      <x:c r="C44" s="97" t="str">
        <x:v>Mon</x:v>
      </x:c>
      <x:c r="D44" s="74" t="str">
        <x:v>Сильное аудирование</x:v>
      </x:c>
      <x:c r="E44" s="74" t="str">
        <x:v>Connected speech and discourse markers</x:v>
      </x:c>
      <x:c r="F44" s="74" t="str">
        <x:v>interviews, podcasts, natural conversation</x:v>
      </x:c>
      <x:c r="G44" s="74" t="str">
        <x:v>Vocabulary + Listening</x:v>
      </x:c>
      <x:c r="H44" s="74" t="str">
        <x:v>Выучи 5-7 фраз, послушай 1 короткое видео, перескажи вслух</x:v>
      </x:c>
      <x:c r="I44" s="122" t="n">
        <x:v>35</x:v>
      </x:c>
      <x:c r="J44" s="123"/>
      <x:c r="K44" s="124"/>
      <x:c r="L44" s="124"/>
      <x:c r="M44" s="124"/>
      <x:c r="N44" s="124"/>
      <x:c r="O44" s="124"/>
      <x:c r="P44" s="124"/>
      <x:c r="Q44" s="125" t="str">
        <x:f>IF(COUNTA(K44:P44)=0,"",(COUNTIF(K44:P44,"Done")+0.5*COUNTIF(K44:P44,"Partial"))/6)</x:f>
      </x:c>
      <x:c r="R44" s="75"/>
    </x:row>
    <x:row r="45" ht="34" customHeight="1">
      <x:c r="A45" s="80" t="n">
        <x:v>46175</x:v>
      </x:c>
      <x:c r="B45" s="96" t="n">
        <x:v>7</x:v>
      </x:c>
      <x:c r="C45" s="97" t="str">
        <x:v>Tue</x:v>
      </x:c>
      <x:c r="D45" s="74" t="str">
        <x:v>Сильное аудирование</x:v>
      </x:c>
      <x:c r="E45" s="74" t="str">
        <x:v>Connected speech and discourse markers</x:v>
      </x:c>
      <x:c r="F45" s="74" t="str">
        <x:v>interviews, podcasts, natural conversation</x:v>
      </x:c>
      <x:c r="G45" s="74" t="str">
        <x:v>Grammar + Speaking</x:v>
      </x:c>
      <x:c r="H45" s="74" t="str">
        <x:v>Разбери grammar block недели, сделай 10-15 своих предложений, 2 минуты speaking</x:v>
      </x:c>
      <x:c r="I45" s="122" t="n">
        <x:v>35</x:v>
      </x:c>
      <x:c r="J45" s="123"/>
      <x:c r="K45" s="124"/>
      <x:c r="L45" s="124"/>
      <x:c r="M45" s="124"/>
      <x:c r="N45" s="124"/>
      <x:c r="O45" s="124"/>
      <x:c r="P45" s="124"/>
      <x:c r="Q45" s="125" t="str">
        <x:f>IF(COUNTA(K45:P45)=0,"",(COUNTIF(K45:P45,"Done")+0.5*COUNTIF(K45:P45,"Partial"))/6)</x:f>
      </x:c>
      <x:c r="R45" s="75"/>
    </x:row>
    <x:row r="46" ht="34" customHeight="1">
      <x:c r="A46" s="80" t="n">
        <x:v>46176</x:v>
      </x:c>
      <x:c r="B46" s="96" t="n">
        <x:v>7</x:v>
      </x:c>
      <x:c r="C46" s="97" t="str">
        <x:v>Wed</x:v>
      </x:c>
      <x:c r="D46" s="74" t="str">
        <x:v>Сильное аудирование</x:v>
      </x:c>
      <x:c r="E46" s="74" t="str">
        <x:v>Connected speech and discourse markers</x:v>
      </x:c>
      <x:c r="F46" s="74" t="str">
        <x:v>interviews, podcasts, natural conversation</x:v>
      </x:c>
      <x:c r="G46" s="74" t="str">
        <x:v>Listening + Shadowing</x:v>
      </x:c>
      <x:c r="H46" s="74" t="str">
        <x:v>Короткий отрывок: слушай, повторяй за диктором, запиши себя</x:v>
      </x:c>
      <x:c r="I46" s="122" t="n">
        <x:v>35</x:v>
      </x:c>
      <x:c r="J46" s="123"/>
      <x:c r="K46" s="124"/>
      <x:c r="L46" s="124"/>
      <x:c r="M46" s="124"/>
      <x:c r="N46" s="124"/>
      <x:c r="O46" s="124"/>
      <x:c r="P46" s="124"/>
      <x:c r="Q46" s="125" t="str">
        <x:f>IF(COUNTA(K46:P46)=0,"",(COUNTIF(K46:P46,"Done")+0.5*COUNTIF(K46:P46,"Partial"))/6)</x:f>
      </x:c>
      <x:c r="R46" s="75"/>
    </x:row>
    <x:row r="47" ht="34" customHeight="1">
      <x:c r="A47" s="80" t="n">
        <x:v>46177</x:v>
      </x:c>
      <x:c r="B47" s="96" t="n">
        <x:v>7</x:v>
      </x:c>
      <x:c r="C47" s="97" t="str">
        <x:v>Thu</x:v>
      </x:c>
      <x:c r="D47" s="74" t="str">
        <x:v>Сильное аудирование</x:v>
      </x:c>
      <x:c r="E47" s="74" t="str">
        <x:v>Connected speech and discourse markers</x:v>
      </x:c>
      <x:c r="F47" s="74" t="str">
        <x:v>interviews, podcasts, natural conversation</x:v>
      </x:c>
      <x:c r="G47" s="74" t="str">
        <x:v>Reading + Vocabulary</x:v>
      </x:c>
      <x:c r="H47" s="74" t="str">
        <x:v>Прочитай короткий текст, выпиши 5 фраз, составь свои примеры</x:v>
      </x:c>
      <x:c r="I47" s="122" t="n">
        <x:v>35</x:v>
      </x:c>
      <x:c r="J47" s="123"/>
      <x:c r="K47" s="124"/>
      <x:c r="L47" s="124"/>
      <x:c r="M47" s="124"/>
      <x:c r="N47" s="124"/>
      <x:c r="O47" s="124"/>
      <x:c r="P47" s="124"/>
      <x:c r="Q47" s="125" t="str">
        <x:f>IF(COUNTA(K47:P47)=0,"",(COUNTIF(K47:P47,"Done")+0.5*COUNTIF(K47:P47,"Partial"))/6)</x:f>
      </x:c>
      <x:c r="R47" s="75"/>
    </x:row>
    <x:row r="48" ht="34" customHeight="1">
      <x:c r="A48" s="80" t="n">
        <x:v>46178</x:v>
      </x:c>
      <x:c r="B48" s="96" t="n">
        <x:v>7</x:v>
      </x:c>
      <x:c r="C48" s="97" t="str">
        <x:v>Fri</x:v>
      </x:c>
      <x:c r="D48" s="74" t="str">
        <x:v>Сильное аудирование</x:v>
      </x:c>
      <x:c r="E48" s="74" t="str">
        <x:v>Connected speech and discourse markers</x:v>
      </x:c>
      <x:c r="F48" s="74" t="str">
        <x:v>interviews, podcasts, natural conversation</x:v>
      </x:c>
      <x:c r="G48" s="74" t="str">
        <x:v>Speaking + Writing</x:v>
      </x:c>
      <x:c r="H48" s="74" t="str">
        <x:v>2-3 минуты свободной речи, затем 8-10 предложений письменно</x:v>
      </x:c>
      <x:c r="I48" s="122" t="n">
        <x:v>35</x:v>
      </x:c>
      <x:c r="J48" s="123"/>
      <x:c r="K48" s="124"/>
      <x:c r="L48" s="124"/>
      <x:c r="M48" s="124"/>
      <x:c r="N48" s="124"/>
      <x:c r="O48" s="124"/>
      <x:c r="P48" s="124"/>
      <x:c r="Q48" s="125" t="str">
        <x:f>IF(COUNTA(K48:P48)=0,"",(COUNTIF(K48:P48,"Done")+0.5*COUNTIF(K48:P48,"Partial"))/6)</x:f>
      </x:c>
      <x:c r="R48" s="75"/>
    </x:row>
    <x:row r="49" ht="34" customHeight="1">
      <x:c r="A49" s="80" t="n">
        <x:v>46179</x:v>
      </x:c>
      <x:c r="B49" s="96" t="n">
        <x:v>7</x:v>
      </x:c>
      <x:c r="C49" s="97" t="str">
        <x:v>Sat</x:v>
      </x:c>
      <x:c r="D49" s="74" t="str">
        <x:v>Сильное аудирование</x:v>
      </x:c>
      <x:c r="E49" s="74" t="str">
        <x:v>Connected speech and discourse markers</x:v>
      </x:c>
      <x:c r="F49" s="74" t="str">
        <x:v>interviews, podcasts, natural conversation</x:v>
      </x:c>
      <x:c r="G49" s="74" t="str">
        <x:v>Long Practice</x:v>
      </x:c>
      <x:c r="H49" s="74" t="str">
        <x:v>45-60 минут: видео, интервью, подкаст или разговор, затем summary</x:v>
      </x:c>
      <x:c r="I49" s="122" t="n">
        <x:v>50</x:v>
      </x:c>
      <x:c r="J49" s="123"/>
      <x:c r="K49" s="124"/>
      <x:c r="L49" s="124"/>
      <x:c r="M49" s="124"/>
      <x:c r="N49" s="124"/>
      <x:c r="O49" s="124"/>
      <x:c r="P49" s="124"/>
      <x:c r="Q49" s="125" t="str">
        <x:f>IF(COUNTA(K49:P49)=0,"",(COUNTIF(K49:P49,"Done")+0.5*COUNTIF(K49:P49,"Partial"))/6)</x:f>
      </x:c>
      <x:c r="R49" s="75"/>
    </x:row>
    <x:row r="50" ht="34" customHeight="1">
      <x:c r="A50" s="80" t="n">
        <x:v>46180</x:v>
      </x:c>
      <x:c r="B50" s="96" t="n">
        <x:v>7</x:v>
      </x:c>
      <x:c r="C50" s="97" t="str">
        <x:v>Sun</x:v>
      </x:c>
      <x:c r="D50" s="74" t="str">
        <x:v>Сильное аудирование</x:v>
      </x:c>
      <x:c r="E50" s="74" t="str">
        <x:v>Connected speech and discourse markers</x:v>
      </x:c>
      <x:c r="F50" s="74" t="str">
        <x:v>interviews, podcasts, natural conversation</x:v>
      </x:c>
      <x:c r="G50" s="74" t="str">
        <x:v>Light Review</x:v>
      </x:c>
      <x:c r="H50" s="74" t="str">
        <x:v>Повтори карточки, 5 минут речи, без перегруза</x:v>
      </x:c>
      <x:c r="I50" s="122" t="n">
        <x:v>20</x:v>
      </x:c>
      <x:c r="J50" s="123"/>
      <x:c r="K50" s="124"/>
      <x:c r="L50" s="124"/>
      <x:c r="M50" s="124"/>
      <x:c r="N50" s="124"/>
      <x:c r="O50" s="124"/>
      <x:c r="P50" s="124"/>
      <x:c r="Q50" s="125" t="str">
        <x:f>IF(COUNTA(K50:P50)=0,"",(COUNTIF(K50:P50,"Done")+0.5*COUNTIF(K50:P50,"Partial"))/6)</x:f>
      </x:c>
      <x:c r="R50" s="75"/>
    </x:row>
    <x:row r="51" ht="34" customHeight="1">
      <x:c r="A51" s="80" t="n">
        <x:v>46181</x:v>
      </x:c>
      <x:c r="B51" s="96" t="n">
        <x:v>8</x:v>
      </x:c>
      <x:c r="C51" s="97" t="str">
        <x:v>Mon</x:v>
      </x:c>
      <x:c r="D51" s="74" t="str">
        <x:v>Интеграция и выход в практику</x:v>
      </x:c>
      <x:c r="E51" s="74" t="str">
        <x:v>Integrated review</x:v>
      </x:c>
      <x:c r="F51" s="74" t="str">
        <x:v>explain your work, goals, problems and solutions</x:v>
      </x:c>
      <x:c r="G51" s="74" t="str">
        <x:v>Vocabulary + Listening</x:v>
      </x:c>
      <x:c r="H51" s="74" t="str">
        <x:v>Выучи 5-7 фраз, послушай 1 короткое видео, перескажи вслух</x:v>
      </x:c>
      <x:c r="I51" s="122" t="n">
        <x:v>35</x:v>
      </x:c>
      <x:c r="J51" s="123"/>
      <x:c r="K51" s="124"/>
      <x:c r="L51" s="124"/>
      <x:c r="M51" s="124"/>
      <x:c r="N51" s="124"/>
      <x:c r="O51" s="124"/>
      <x:c r="P51" s="124"/>
      <x:c r="Q51" s="125" t="str">
        <x:f>IF(COUNTA(K51:P51)=0,"",(COUNTIF(K51:P51,"Done")+0.5*COUNTIF(K51:P51,"Partial"))/6)</x:f>
      </x:c>
      <x:c r="R51" s="75"/>
    </x:row>
    <x:row r="52" ht="34" customHeight="1">
      <x:c r="A52" s="80" t="n">
        <x:v>46182</x:v>
      </x:c>
      <x:c r="B52" s="96" t="n">
        <x:v>8</x:v>
      </x:c>
      <x:c r="C52" s="97" t="str">
        <x:v>Tue</x:v>
      </x:c>
      <x:c r="D52" s="74" t="str">
        <x:v>Интеграция и выход в практику</x:v>
      </x:c>
      <x:c r="E52" s="74" t="str">
        <x:v>Integrated review</x:v>
      </x:c>
      <x:c r="F52" s="74" t="str">
        <x:v>explain your work, goals, problems and solutions</x:v>
      </x:c>
      <x:c r="G52" s="74" t="str">
        <x:v>Grammar + Speaking</x:v>
      </x:c>
      <x:c r="H52" s="74" t="str">
        <x:v>Разбери grammar block недели, сделай 10-15 своих предложений, 2 минуты speaking</x:v>
      </x:c>
      <x:c r="I52" s="122" t="n">
        <x:v>35</x:v>
      </x:c>
      <x:c r="J52" s="123"/>
      <x:c r="K52" s="124"/>
      <x:c r="L52" s="124"/>
      <x:c r="M52" s="124"/>
      <x:c r="N52" s="124"/>
      <x:c r="O52" s="124"/>
      <x:c r="P52" s="124"/>
      <x:c r="Q52" s="125" t="str">
        <x:f>IF(COUNTA(K52:P52)=0,"",(COUNTIF(K52:P52,"Done")+0.5*COUNTIF(K52:P52,"Partial"))/6)</x:f>
      </x:c>
      <x:c r="R52" s="75"/>
    </x:row>
    <x:row r="53" ht="34" customHeight="1">
      <x:c r="A53" s="80" t="n">
        <x:v>46183</x:v>
      </x:c>
      <x:c r="B53" s="96" t="n">
        <x:v>8</x:v>
      </x:c>
      <x:c r="C53" s="97" t="str">
        <x:v>Wed</x:v>
      </x:c>
      <x:c r="D53" s="74" t="str">
        <x:v>Интеграция и выход в практику</x:v>
      </x:c>
      <x:c r="E53" s="74" t="str">
        <x:v>Integrated review</x:v>
      </x:c>
      <x:c r="F53" s="74" t="str">
        <x:v>explain your work, goals, problems and solutions</x:v>
      </x:c>
      <x:c r="G53" s="74" t="str">
        <x:v>Listening + Shadowing</x:v>
      </x:c>
      <x:c r="H53" s="74" t="str">
        <x:v>Короткий отрывок: слушай, повторяй за диктором, запиши себя</x:v>
      </x:c>
      <x:c r="I53" s="122" t="n">
        <x:v>35</x:v>
      </x:c>
      <x:c r="J53" s="123"/>
      <x:c r="K53" s="124"/>
      <x:c r="L53" s="124"/>
      <x:c r="M53" s="124"/>
      <x:c r="N53" s="124"/>
      <x:c r="O53" s="124"/>
      <x:c r="P53" s="124"/>
      <x:c r="Q53" s="125" t="str">
        <x:f>IF(COUNTA(K53:P53)=0,"",(COUNTIF(K53:P53,"Done")+0.5*COUNTIF(K53:P53,"Partial"))/6)</x:f>
      </x:c>
      <x:c r="R53" s="75"/>
    </x:row>
    <x:row r="54" ht="34" customHeight="1">
      <x:c r="A54" s="80" t="n">
        <x:v>46184</x:v>
      </x:c>
      <x:c r="B54" s="96" t="n">
        <x:v>8</x:v>
      </x:c>
      <x:c r="C54" s="97" t="str">
        <x:v>Thu</x:v>
      </x:c>
      <x:c r="D54" s="74" t="str">
        <x:v>Интеграция и выход в практику</x:v>
      </x:c>
      <x:c r="E54" s="74" t="str">
        <x:v>Integrated review</x:v>
      </x:c>
      <x:c r="F54" s="74" t="str">
        <x:v>explain your work, goals, problems and solutions</x:v>
      </x:c>
      <x:c r="G54" s="74" t="str">
        <x:v>Reading + Vocabulary</x:v>
      </x:c>
      <x:c r="H54" s="74" t="str">
        <x:v>Прочитай короткий текст, выпиши 5 фраз, составь свои примеры</x:v>
      </x:c>
      <x:c r="I54" s="122" t="n">
        <x:v>35</x:v>
      </x:c>
      <x:c r="J54" s="123"/>
      <x:c r="K54" s="124"/>
      <x:c r="L54" s="124"/>
      <x:c r="M54" s="124"/>
      <x:c r="N54" s="124"/>
      <x:c r="O54" s="124"/>
      <x:c r="P54" s="124"/>
      <x:c r="Q54" s="125" t="str">
        <x:f>IF(COUNTA(K54:P54)=0,"",(COUNTIF(K54:P54,"Done")+0.5*COUNTIF(K54:P54,"Partial"))/6)</x:f>
      </x:c>
      <x:c r="R54" s="75"/>
    </x:row>
    <x:row r="55" ht="34" customHeight="1">
      <x:c r="A55" s="80" t="n">
        <x:v>46185</x:v>
      </x:c>
      <x:c r="B55" s="96" t="n">
        <x:v>8</x:v>
      </x:c>
      <x:c r="C55" s="97" t="str">
        <x:v>Fri</x:v>
      </x:c>
      <x:c r="D55" s="74" t="str">
        <x:v>Интеграция и выход в практику</x:v>
      </x:c>
      <x:c r="E55" s="74" t="str">
        <x:v>Integrated review</x:v>
      </x:c>
      <x:c r="F55" s="74" t="str">
        <x:v>explain your work, goals, problems and solutions</x:v>
      </x:c>
      <x:c r="G55" s="74" t="str">
        <x:v>Speaking + Writing</x:v>
      </x:c>
      <x:c r="H55" s="74" t="str">
        <x:v>2-3 минуты свободной речи, затем 8-10 предложений письменно</x:v>
      </x:c>
      <x:c r="I55" s="122" t="n">
        <x:v>35</x:v>
      </x:c>
      <x:c r="J55" s="123"/>
      <x:c r="K55" s="124"/>
      <x:c r="L55" s="124"/>
      <x:c r="M55" s="124"/>
      <x:c r="N55" s="124"/>
      <x:c r="O55" s="124"/>
      <x:c r="P55" s="124"/>
      <x:c r="Q55" s="125" t="str">
        <x:f>IF(COUNTA(K55:P55)=0,"",(COUNTIF(K55:P55,"Done")+0.5*COUNTIF(K55:P55,"Partial"))/6)</x:f>
      </x:c>
      <x:c r="R55" s="75"/>
    </x:row>
    <x:row r="56" ht="34" customHeight="1">
      <x:c r="A56" s="80" t="n">
        <x:v>46186</x:v>
      </x:c>
      <x:c r="B56" s="96" t="n">
        <x:v>8</x:v>
      </x:c>
      <x:c r="C56" s="97" t="str">
        <x:v>Sat</x:v>
      </x:c>
      <x:c r="D56" s="74" t="str">
        <x:v>Интеграция и выход в практику</x:v>
      </x:c>
      <x:c r="E56" s="74" t="str">
        <x:v>Integrated review</x:v>
      </x:c>
      <x:c r="F56" s="74" t="str">
        <x:v>explain your work, goals, problems and solutions</x:v>
      </x:c>
      <x:c r="G56" s="74" t="str">
        <x:v>Long Practice</x:v>
      </x:c>
      <x:c r="H56" s="74" t="str">
        <x:v>45-60 минут: видео, интервью, подкаст или разговор, затем summary</x:v>
      </x:c>
      <x:c r="I56" s="122" t="n">
        <x:v>50</x:v>
      </x:c>
      <x:c r="J56" s="123"/>
      <x:c r="K56" s="124"/>
      <x:c r="L56" s="124"/>
      <x:c r="M56" s="124"/>
      <x:c r="N56" s="124"/>
      <x:c r="O56" s="124"/>
      <x:c r="P56" s="124"/>
      <x:c r="Q56" s="125" t="str">
        <x:f>IF(COUNTA(K56:P56)=0,"",(COUNTIF(K56:P56,"Done")+0.5*COUNTIF(K56:P56,"Partial"))/6)</x:f>
      </x:c>
      <x:c r="R56" s="75"/>
    </x:row>
    <x:row r="57" ht="34" customHeight="1">
      <x:c r="A57" s="81" t="n">
        <x:v>46187</x:v>
      </x:c>
      <x:c r="B57" s="98" t="n">
        <x:v>8</x:v>
      </x:c>
      <x:c r="C57" s="99" t="str">
        <x:v>Sun</x:v>
      </x:c>
      <x:c r="D57" s="77" t="str">
        <x:v>Интеграция и выход в практику</x:v>
      </x:c>
      <x:c r="E57" s="77" t="str">
        <x:v>Integrated review</x:v>
      </x:c>
      <x:c r="F57" s="77" t="str">
        <x:v>explain your work, goals, problems and solutions</x:v>
      </x:c>
      <x:c r="G57" s="77" t="str">
        <x:v>Light Review</x:v>
      </x:c>
      <x:c r="H57" s="77" t="str">
        <x:v>Повтори карточки, 5 минут речи, без перегруза</x:v>
      </x:c>
      <x:c r="I57" s="126" t="n">
        <x:v>20</x:v>
      </x:c>
      <x:c r="J57" s="127"/>
      <x:c r="K57" s="128"/>
      <x:c r="L57" s="128"/>
      <x:c r="M57" s="128"/>
      <x:c r="N57" s="128"/>
      <x:c r="O57" s="128"/>
      <x:c r="P57" s="128"/>
      <x:c r="Q57" s="129" t="str">
        <x:f>IF(COUNTA(K57:P57)=0,"",(COUNTIF(K57:P57,"Done")+0.5*COUNTIF(K57:P57,"Partial"))/6)</x:f>
      </x:c>
      <x:c r="R57" s="78"/>
    </x:row>
  </x:sheetData>
  <x:conditionalFormatting sqref="K2:K57">
    <x:cfRule type="expression" dxfId="0" priority="1">
      <x:formula>K2="Done"</x:formula>
    </x:cfRule>
    <x:cfRule type="expression" dxfId="1" priority="2">
      <x:formula>K2="Partial"</x:formula>
    </x:cfRule>
    <x:cfRule type="expression" dxfId="2" priority="3">
      <x:formula>K2="Skipped"</x:formula>
    </x:cfRule>
  </x:conditionalFormatting>
  <x:conditionalFormatting sqref="L2:L57">
    <x:cfRule type="expression" dxfId="3" priority="4">
      <x:formula>L2="Done"</x:formula>
    </x:cfRule>
    <x:cfRule type="expression" dxfId="4" priority="5">
      <x:formula>L2="Partial"</x:formula>
    </x:cfRule>
    <x:cfRule type="expression" dxfId="5" priority="6">
      <x:formula>L2="Skipped"</x:formula>
    </x:cfRule>
  </x:conditionalFormatting>
  <x:conditionalFormatting sqref="M2:M57">
    <x:cfRule type="expression" dxfId="6" priority="7">
      <x:formula>M2="Done"</x:formula>
    </x:cfRule>
    <x:cfRule type="expression" dxfId="7" priority="8">
      <x:formula>M2="Partial"</x:formula>
    </x:cfRule>
    <x:cfRule type="expression" dxfId="8" priority="9">
      <x:formula>M2="Skipped"</x:formula>
    </x:cfRule>
  </x:conditionalFormatting>
  <x:conditionalFormatting sqref="N2:N57">
    <x:cfRule type="expression" dxfId="9" priority="10">
      <x:formula>N2="Done"</x:formula>
    </x:cfRule>
    <x:cfRule type="expression" dxfId="10" priority="11">
      <x:formula>N2="Partial"</x:formula>
    </x:cfRule>
    <x:cfRule type="expression" dxfId="11" priority="12">
      <x:formula>N2="Skipped"</x:formula>
    </x:cfRule>
  </x:conditionalFormatting>
  <x:conditionalFormatting sqref="O2:O57">
    <x:cfRule type="expression" dxfId="12" priority="13">
      <x:formula>O2="Done"</x:formula>
    </x:cfRule>
    <x:cfRule type="expression" dxfId="13" priority="14">
      <x:formula>O2="Partial"</x:formula>
    </x:cfRule>
    <x:cfRule type="expression" dxfId="14" priority="15">
      <x:formula>O2="Skipped"</x:formula>
    </x:cfRule>
  </x:conditionalFormatting>
  <x:conditionalFormatting sqref="P2:P57">
    <x:cfRule type="expression" dxfId="15" priority="16">
      <x:formula>P2="Done"</x:formula>
    </x:cfRule>
    <x:cfRule type="expression" dxfId="16" priority="17">
      <x:formula>P2="Partial"</x:formula>
    </x:cfRule>
    <x:cfRule type="expression" dxfId="17" priority="18">
      <x:formula>P2="Skipped"</x:formula>
    </x:cfRule>
  </x:conditionalFormatting>
  <x:conditionalFormatting sqref="Q2:Q57">
    <x:cfRule type="dataBar" priority="19">
      <x:dataBar>
        <x:cfvo type="min"/>
        <x:cfvo type="max"/>
        <x:color rgb="5B9BD5"/>
      </x:dataBar>
    </x:cfRule>
  </x:conditionalFormatting>
  <x:dataValidations count="6">
    <x:dataValidation type="list" sqref="K2:K57">
      <x:formula1>"Done,Partial,Skipped"</x:formula1>
    </x:dataValidation>
    <x:dataValidation type="list" sqref="L2:L57">
      <x:formula1>"Done,Partial,Skipped"</x:formula1>
    </x:dataValidation>
    <x:dataValidation type="list" sqref="M2:M57">
      <x:formula1>"Done,Partial,Skipped"</x:formula1>
    </x:dataValidation>
    <x:dataValidation type="list" sqref="N2:N57">
      <x:formula1>"Done,Partial,Skipped"</x:formula1>
    </x:dataValidation>
    <x:dataValidation type="list" sqref="O2:O57">
      <x:formula1>"Done,Partial,Skipped"</x:formula1>
    </x:dataValidation>
    <x:dataValidation type="list" sqref="P2:P57">
      <x:formula1>"Done,Partial,Skipped"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5e5272884a49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58" t="str">
        <x:v>Week</x:v>
      </x:c>
      <x:c r="B1" s="59" t="str">
        <x:v>Focus</x:v>
      </x:c>
      <x:c r="C1" s="59" t="str">
        <x:v>Grammar</x:v>
      </x:c>
      <x:c r="D1" s="59" t="str">
        <x:v>Avg Completion</x:v>
      </x:c>
      <x:c r="E1" s="59" t="str">
        <x:v>Avg Actual Min</x:v>
      </x:c>
      <x:c r="F1" s="59" t="str">
        <x:v>What improved</x:v>
      </x:c>
      <x:c r="G1" s="59" t="str">
        <x:v>What was hard</x:v>
      </x:c>
      <x:c r="H1" s="60" t="str">
        <x:v>Adjustment for next week</x:v>
      </x:c>
    </x:row>
    <x:row r="2">
      <x:c r="A2" s="70" t="n">
        <x:v>1</x:v>
      </x:c>
      <x:c r="B2" s="71" t="str">
        <x:v>Разогрев и возврат автоматизма</x:v>
      </x:c>
      <x:c r="C2" s="71" t="str">
        <x:v>Present Simple, Present Continuous</x:v>
      </x:c>
      <x:c r="D2" s="85" t="str">
        <x:f>IFERROR(Dashboard!C11,"")</x:f>
      </x:c>
      <x:c r="E2" s="142" t="str">
        <x:f>IFERROR(Dashboard!D11,"")</x:f>
      </x:c>
      <x:c r="F2" s="71"/>
      <x:c r="G2" s="71"/>
      <x:c r="H2" s="72"/>
    </x:row>
    <x:row r="3">
      <x:c r="A3" s="73" t="n">
        <x:v>2</x:v>
      </x:c>
      <x:c r="B3" s="74" t="str">
        <x:v>Прошлое и опыт</x:v>
      </x:c>
      <x:c r="C3" s="74" t="str">
        <x:v>Past Simple, Present Perfect</x:v>
      </x:c>
      <x:c r="D3" s="86" t="str">
        <x:f>IFERROR(Dashboard!C12,"")</x:f>
      </x:c>
      <x:c r="E3" s="143" t="str">
        <x:f>IFERROR(Dashboard!D12,"")</x:f>
      </x:c>
      <x:c r="F3" s="74"/>
      <x:c r="G3" s="74"/>
      <x:c r="H3" s="75"/>
    </x:row>
    <x:row r="4">
      <x:c r="A4" s="73" t="n">
        <x:v>3</x:v>
      </x:c>
      <x:c r="B4" s="74" t="str">
        <x:v>Будущее и планы</x:v>
      </x:c>
      <x:c r="C4" s="74" t="str">
        <x:v>will, going to, Present Continuous for plans</x:v>
      </x:c>
      <x:c r="D4" s="86" t="str">
        <x:f>IFERROR(Dashboard!C13,"")</x:f>
      </x:c>
      <x:c r="E4" s="143" t="str">
        <x:f>IFERROR(Dashboard!D13,"")</x:f>
      </x:c>
      <x:c r="F4" s="74"/>
      <x:c r="G4" s="74"/>
      <x:c r="H4" s="75"/>
    </x:row>
    <x:row r="5">
      <x:c r="A5" s="73" t="n">
        <x:v>4</x:v>
      </x:c>
      <x:c r="B5" s="74" t="str">
        <x:v>Мнение, согласие, несогласие</x:v>
      </x:c>
      <x:c r="C5" s="74" t="str">
        <x:v>Opinion phrases, linkers</x:v>
      </x:c>
      <x:c r="D5" s="86" t="str">
        <x:f>IFERROR(Dashboard!C14,"")</x:f>
      </x:c>
      <x:c r="E5" s="143" t="str">
        <x:f>IFERROR(Dashboard!D14,"")</x:f>
      </x:c>
      <x:c r="F5" s="74"/>
      <x:c r="G5" s="74"/>
      <x:c r="H5" s="75"/>
    </x:row>
    <x:row r="6">
      <x:c r="A6" s="73" t="n">
        <x:v>5</x:v>
      </x:c>
      <x:c r="B6" s="74" t="str">
        <x:v>Условия, решения, проблемы</x:v>
      </x:c>
      <x:c r="C6" s="74" t="str">
        <x:v>First and second conditional</x:v>
      </x:c>
      <x:c r="D6" s="86" t="str">
        <x:f>IFERROR(Dashboard!C15,"")</x:f>
      </x:c>
      <x:c r="E6" s="143" t="str">
        <x:f>IFERROR(Dashboard!D15,"")</x:f>
      </x:c>
      <x:c r="F6" s="74"/>
      <x:c r="G6" s="74"/>
      <x:c r="H6" s="75"/>
    </x:row>
    <x:row r="7">
      <x:c r="A7" s="73" t="n">
        <x:v>6</x:v>
      </x:c>
      <x:c r="B7" s="74" t="str">
        <x:v>Натуральная речь и phrasal verbs</x:v>
      </x:c>
      <x:c r="C7" s="74" t="str">
        <x:v>Phrasal verbs and collocations</x:v>
      </x:c>
      <x:c r="D7" s="86" t="str">
        <x:f>IFERROR(Dashboard!C16,"")</x:f>
      </x:c>
      <x:c r="E7" s="143" t="str">
        <x:f>IFERROR(Dashboard!D16,"")</x:f>
      </x:c>
      <x:c r="F7" s="74"/>
      <x:c r="G7" s="74"/>
      <x:c r="H7" s="75"/>
    </x:row>
    <x:row r="8">
      <x:c r="A8" s="73" t="n">
        <x:v>7</x:v>
      </x:c>
      <x:c r="B8" s="74" t="str">
        <x:v>Сильное аудирование</x:v>
      </x:c>
      <x:c r="C8" s="74" t="str">
        <x:v>Connected speech and discourse markers</x:v>
      </x:c>
      <x:c r="D8" s="86" t="str">
        <x:f>IFERROR(Dashboard!C17,"")</x:f>
      </x:c>
      <x:c r="E8" s="143" t="str">
        <x:f>IFERROR(Dashboard!D17,"")</x:f>
      </x:c>
      <x:c r="F8" s="74"/>
      <x:c r="G8" s="74"/>
      <x:c r="H8" s="75"/>
    </x:row>
    <x:row r="9">
      <x:c r="A9" s="76" t="n">
        <x:v>8</x:v>
      </x:c>
      <x:c r="B9" s="77" t="str">
        <x:v>Интеграция и выход в практику</x:v>
      </x:c>
      <x:c r="C9" s="77" t="str">
        <x:v>Integrated review</x:v>
      </x:c>
      <x:c r="D9" s="87" t="str">
        <x:f>IFERROR(Dashboard!C18,"")</x:f>
      </x:c>
      <x:c r="E9" s="144" t="str">
        <x:f>IFERROR(Dashboard!D18,"")</x:f>
      </x:c>
      <x:c r="F9" s="77"/>
      <x:c r="G9" s="77"/>
      <x:c r="H9" s="7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>
      <x:c r="A1" s="47" t="str">
        <x:v>Status</x:v>
      </x:c>
    </x:row>
    <x:row r="2">
      <x:c r="A2" s="42" t="str">
        <x:v>Done</x:v>
      </x:c>
    </x:row>
    <x:row r="3">
      <x:c r="A3" s="42" t="str">
        <x:v>Partial</x:v>
      </x:c>
    </x:row>
    <x:row r="4">
      <x:c r="A4" s="43" t="str">
        <x:v>Skipped</x:v>
      </x:c>
    </x:row>
  </x:sheetData>
  <x:pageMargins left="0.7" right="0.7" top="0.75" bottom="0.75" header="0.3" footer="0.3"/>
</x:worksheet>
</file>